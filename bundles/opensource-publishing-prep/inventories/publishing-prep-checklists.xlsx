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af461d9af48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0f4bc47eb084e72"/>
    <x:sheet xmlns:r="http://schemas.openxmlformats.org/officeDocument/2006/relationships" name="All Checklist" sheetId="2" r:id="R12ce218bbecd404e"/>
    <x:sheet xmlns:r="http://schemas.openxmlformats.org/officeDocument/2006/relationships" name="Architecture Hotspots" sheetId="3" r:id="Rc1a0df8c987146f9"/>
    <x:sheet xmlns:r="http://schemas.openxmlformats.org/officeDocument/2006/relationships" name="Publishing" sheetId="4" r:id="R8f6bb81da829416e"/>
    <x:sheet xmlns:r="http://schemas.openxmlformats.org/officeDocument/2006/relationships" name="Docker Persistence" sheetId="5" r:id="R8eebacedd03b4def"/>
    <x:sheet xmlns:r="http://schemas.openxmlformats.org/officeDocument/2006/relationships" name="UI Decomposition" sheetId="6" r:id="R73a17a02d9b64095"/>
    <x:sheet xmlns:r="http://schemas.openxmlformats.org/officeDocument/2006/relationships" name="Performance" sheetId="7" r:id="R51dd6bedd8df410f"/>
    <x:sheet xmlns:r="http://schemas.openxmlformats.org/officeDocument/2006/relationships" name="Storage Query" sheetId="8" r:id="Rd716e728929b4ba8"/>
    <x:sheet xmlns:r="http://schemas.openxmlformats.org/officeDocument/2006/relationships" name="Validation Evidence" sheetId="9" r:id="R6681c4ce4bbf447e"/>
    <x:sheet xmlns:r="http://schemas.openxmlformats.org/officeDocument/2006/relationships" name="Traceability" sheetId="10" r:id="Rb5adafa9491647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17324D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EEF5"/>
      </x:patternFill>
    </x:fill>
    <x:fill>
      <x:patternFill patternType="solid">
        <x:fgColor rgb="FF244B73"/>
      </x:patternFill>
    </x:fill>
  </x:fills>
  <x:borders count="20">
    <x:border/>
    <x:border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bottom style="thin">
        <x:color rgb="FFD7DEE8"/>
      </x:bottom>
    </x:border>
    <x:border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top style="thin">
        <x:color rgb="FFD7DEE8"/>
      </x:top>
      <x:bottom style="thin">
        <x:color rgb="FFD7DEE8"/>
      </x:bottom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  <x:right style="thin">
        <x:color rgb="FFD7DEE8"/>
      </x:right>
      <x:top style="thin">
        <x:color rgb="FFD7DEE8"/>
      </x:top>
    </x:border>
    <x:border>
      <x:left style="thin">
        <x:color rgb="FFD7DEE8"/>
      </x:left>
      <x:top style="thin">
        <x:color rgb="FFD7DEE8"/>
      </x:top>
    </x:border>
    <x:border>
      <x:left style="medium">
        <x:color rgb="FFA8B4C2"/>
      </x:left>
      <x:top style="medium">
        <x:color rgb="FFA8B4C2"/>
      </x:top>
    </x:border>
    <x:border>
      <x:top style="medium">
        <x:color rgb="FFA8B4C2"/>
      </x:top>
    </x:border>
    <x:border>
      <x:right style="medium">
        <x:color rgb="FFA8B4C2"/>
      </x:right>
      <x:top style="medium">
        <x:color rgb="FFA8B4C2"/>
      </x:top>
    </x:border>
    <x:border>
      <x:left style="medium">
        <x:color rgb="FFA8B4C2"/>
      </x:left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right style="medium">
        <x:color rgb="FFA8B4C2"/>
      </x:right>
      <x:bottom style="thin">
        <x:color rgb="FFD7DEE8"/>
      </x:bottom>
    </x:border>
    <x:border>
      <x:left style="medium">
        <x:color rgb="FFA8B4C2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right style="medium">
        <x:color rgb="FFA8B4C2"/>
      </x:right>
      <x:top style="thin">
        <x:color rgb="FFD7DEE8"/>
      </x:top>
      <x:bottom style="thin">
        <x:color rgb="FFD7DEE8"/>
      </x:bottom>
    </x:border>
    <x:border>
      <x:left style="medium">
        <x:color rgb="FFA8B4C2"/>
      </x:left>
      <x:right style="thin">
        <x:color rgb="FFD7DEE8"/>
      </x:right>
      <x:top style="thin">
        <x:color rgb="FFD7DEE8"/>
      </x:top>
      <x:bottom style="medium">
        <x:color rgb="FFA8B4C2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medium">
        <x:color rgb="FFA8B4C2"/>
      </x:bottom>
    </x:border>
    <x:border>
      <x:left style="thin">
        <x:color rgb="FFD7DEE8"/>
      </x:left>
      <x:right style="medium">
        <x:color rgb="FFA8B4C2"/>
      </x:right>
      <x:top style="thin">
        <x:color rgb="FFD7DEE8"/>
      </x:top>
      <x:bottom style="medium">
        <x:color rgb="FFA8B4C2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3" fillId="4" borderId="10" xfId="0" applyNumberFormat="1" applyFont="1" applyFill="1" applyBorder="1"/>
    <x:xf numFmtId="0" fontId="3" fillId="4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9" xfId="0" applyNumberFormat="1" applyFont="1" applyFill="1" applyBorder="1"/>
    <x:xf numFmtId="0" fontId="3" fillId="4" borderId="11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57868ddc98437f" /><Relationship Type="http://schemas.openxmlformats.org/officeDocument/2006/relationships/theme" Target="/xl/theme/theme1.xml" Id="R165aaf02a11f459e" /><Relationship Type="http://schemas.openxmlformats.org/officeDocument/2006/relationships/sharedStrings" Target="/xl/sharedStrings.xml" Id="Rae3efb73a6a44071" /><Relationship Type="http://schemas.openxmlformats.org/officeDocument/2006/relationships/worksheet" Target="/xl/worksheets/sheet1.xml" Id="Ra0f4bc47eb084e72" /><Relationship Type="http://schemas.openxmlformats.org/officeDocument/2006/relationships/worksheet" Target="/xl/worksheets/sheet2.xml" Id="R12ce218bbecd404e" /><Relationship Type="http://schemas.openxmlformats.org/officeDocument/2006/relationships/worksheet" Target="/xl/worksheets/sheet3.xml" Id="Rc1a0df8c987146f9" /><Relationship Type="http://schemas.openxmlformats.org/officeDocument/2006/relationships/worksheet" Target="/xl/worksheets/sheet4.xml" Id="R8f6bb81da829416e" /><Relationship Type="http://schemas.openxmlformats.org/officeDocument/2006/relationships/worksheet" Target="/xl/worksheets/sheet5.xml" Id="R8eebacedd03b4def" /><Relationship Type="http://schemas.openxmlformats.org/officeDocument/2006/relationships/worksheet" Target="/xl/worksheets/sheet6.xml" Id="R73a17a02d9b64095" /><Relationship Type="http://schemas.openxmlformats.org/officeDocument/2006/relationships/worksheet" Target="/xl/worksheets/sheet7.xml" Id="R51dd6bedd8df410f" /><Relationship Type="http://schemas.openxmlformats.org/officeDocument/2006/relationships/worksheet" Target="/xl/worksheets/sheet8.xml" Id="Rd716e728929b4ba8" /><Relationship Type="http://schemas.openxmlformats.org/officeDocument/2006/relationships/worksheet" Target="/xl/worksheets/sheet9.xml" Id="R6681c4ce4bbf447e" /><Relationship Type="http://schemas.openxmlformats.org/officeDocument/2006/relationships/worksheet" Target="/xl/worksheets/sheet10.xml" Id="Rb5adafa949164729" /></Relationships>
</file>

<file path=xl/tables/table1.xml><?xml version="1.0" encoding="utf-8"?>
<x:table xmlns:x="http://schemas.openxmlformats.org/spreadsheetml/2006/main" id="1" name="AllChecklistTable" displayName="AllChecklistTable" ref="A4:H24" headerRowCount="1">
  <x:tableColumns count="8">
    <x:tableColumn id="1" name="Area"/>
    <x:tableColumn id="2" name="Item"/>
    <x:tableColumn id="3" name="Priority"/>
    <x:tableColumn id="4" name="Owner"/>
    <x:tableColumn id="5" name="Status"/>
    <x:tableColumn id="6" name="Evidence Required"/>
    <x:tableColumn id="7" name="Source Reference"/>
    <x:tableColumn id="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HotspotTable" displayName="HotspotTable" ref="A4:F12" headerRowCount="1">
  <x:tableColumns count="6">
    <x:tableColumn id="1" name="File"/>
    <x:tableColumn id="2" name="Approx Lines"/>
    <x:tableColumn id="3" name="Concern"/>
    <x:tableColumn id="4" name="Owner"/>
    <x:tableColumn id="5" name="Status"/>
    <x:tableColumn id="6" name="Proposed Isolation"/>
  </x:tableColumns>
  <x:tableStyleInfo name="TableStyleMedium2" showRowStripes="1"/>
</x:table>
</file>

<file path=xl/tables/table3.xml><?xml version="1.0" encoding="utf-8"?>
<x:table xmlns:x="http://schemas.openxmlformats.org/spreadsheetml/2006/main" id="3" name="PublishingTable" displayName="PublishingTable" ref="A4:G9" headerRowCount="1">
  <x:tableColumns count="7">
    <x:tableColumn id="1" name="Check"/>
    <x:tableColumn id="2" name="Priority"/>
    <x:tableColumn id="3" name="Owner"/>
    <x:tableColumn id="4" name="Status"/>
    <x:tableColumn id="5" name="Evidence Required"/>
    <x:tableColumn id="6" name="Source Reference"/>
    <x:tableColumn id="7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DockerTable" displayName="DockerTable" ref="A4:G10" headerRowCount="1">
  <x:tableColumns count="7">
    <x:tableColumn id="1" name="Check"/>
    <x:tableColumn id="2" name="Priority"/>
    <x:tableColumn id="3" name="Owner"/>
    <x:tableColumn id="4" name="Status"/>
    <x:tableColumn id="5" name="Evidence Required"/>
    <x:tableColumn id="6" name="Source Reference"/>
    <x:tableColumn id="7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UITable" displayName="UITable" ref="A4:G10" headerRowCount="1">
  <x:tableColumns count="7">
    <x:tableColumn id="1" name="UI Area"/>
    <x:tableColumn id="2" name="Priority"/>
    <x:tableColumn id="3" name="Owner"/>
    <x:tableColumn id="4" name="Status"/>
    <x:tableColumn id="5" name="Evidence Required"/>
    <x:tableColumn id="6" name="Source Reference"/>
    <x:tableColumn id="7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PerformanceTable" displayName="PerformanceTable" ref="A4:G14" headerRowCount="1">
  <x:tableColumns count="7">
    <x:tableColumn id="1" name="Finding"/>
    <x:tableColumn id="2" name="Count"/>
    <x:tableColumn id="3" name="Priority"/>
    <x:tableColumn id="4" name="Owner"/>
    <x:tableColumn id="5" name="Status"/>
    <x:tableColumn id="6" name="Evidence Required"/>
    <x:tableColumn id="7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StorageTable" displayName="StorageTable" ref="A4:G10" headerRowCount="1">
  <x:tableColumns count="7">
    <x:tableColumn id="1" name="Store"/>
    <x:tableColumn id="2" name="Priority"/>
    <x:tableColumn id="3" name="Owner"/>
    <x:tableColumn id="4" name="Status"/>
    <x:tableColumn id="5" name="Evidence Required"/>
    <x:tableColumn id="6" name="Source Reference"/>
    <x:tableColumn id="7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ValidationTable" displayName="ValidationTable" ref="A4:G13" headerRowCount="1">
  <x:tableColumns count="7">
    <x:tableColumn id="1" name="Subbundle"/>
    <x:tableColumn id="2" name="Required Proof"/>
    <x:tableColumn id="3" name="Priority"/>
    <x:tableColumn id="4" name="Owner"/>
    <x:tableColumn id="5" name="Status"/>
    <x:tableColumn id="6" name="Evidence Location"/>
    <x:tableColumn id="7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TraceabilityTable" displayName="TraceabilityTable" ref="A4:E15" headerRowCount="1">
  <x:tableColumns count="5">
    <x:tableColumn id="1" name="Requirement"/>
    <x:tableColumn id="2" name="Owner"/>
    <x:tableColumn id="3" name="Status"/>
    <x:tableColumn id="4" name="Evidence Required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2a6d9c9e5e4b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cfbfebb7bf43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796e3c2e4e43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4cabb3b87845a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5f213b2455d41e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f0facbe99844f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9c53b66ad734aa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0a5f7ada4ec43b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bf2a6a4e1a242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34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47" t="str">
        <x:v>CanDoItAll.IPFS Open Source Publishing Preparation</x:v>
      </x:c>
    </x:row>
    <x:row r="2">
      <x:c r="A2" s="6" t="str">
        <x:v>Completed bundle workbook with implementation statuses, evidence locations, and final release-validation notes.</x:v>
      </x:c>
    </x:row>
    <x:row r="4">
      <x:c r="A4" s="48" t="str">
        <x:v>Metric</x:v>
      </x:c>
      <x:c r="B4" s="49" t="str">
        <x:v>Value</x:v>
      </x:c>
      <x:c r="D4" s="48" t="str">
        <x:v>Subbundle</x:v>
      </x:c>
      <x:c r="E4" s="56" t="str">
        <x:v>Theme</x:v>
      </x:c>
      <x:c r="F4" s="56" t="str">
        <x:v>Critical</x:v>
      </x:c>
      <x:c r="G4" s="56" t="str">
        <x:v>Depends On</x:v>
      </x:c>
      <x:c r="H4" s="49" t="str">
        <x:v>Validation</x:v>
      </x:c>
    </x:row>
    <x:row r="5">
      <x:c r="A5" s="50" t="str">
        <x:v>Bundle</x:v>
      </x:c>
      <x:c r="B5" s="51" t="str">
        <x:v>bundle://opensource-publishing-prep</x:v>
      </x:c>
      <x:c r="D5" s="57" t="str">
        <x:v>SB01</x:v>
      </x:c>
      <x:c r="E5" s="20" t="str">
        <x:v>Baseline And Risk Inventory</x:v>
      </x:c>
      <x:c r="F5" s="20" t="str">
        <x:v>Yes</x:v>
      </x:c>
      <x:c r="G5" s="20" t="str">
        <x:v>none</x:v>
      </x:c>
      <x:c r="H5" s="58" t="str">
        <x:v>Build/warning/checklist proof</x:v>
      </x:c>
    </x:row>
    <x:row r="6">
      <x:c r="A6" s="52" t="str">
        <x:v>Completion date</x:v>
      </x:c>
      <x:c r="B6" s="53" t="str">
        <x:v>2026-06-30</x:v>
      </x:c>
      <x:c r="D6" s="59" t="str">
        <x:v>SB02</x:v>
      </x:c>
      <x:c r="E6" s="23" t="str">
        <x:v>Metadata And Dependencies</x:v>
      </x:c>
      <x:c r="F6" s="23" t="str">
        <x:v>No</x:v>
      </x:c>
      <x:c r="G6" s="23" t="str">
        <x:v>SB01</x:v>
      </x:c>
      <x:c r="H6" s="60" t="str">
        <x:v>Package/advisory/docs proof</x:v>
      </x:c>
    </x:row>
    <x:row r="7">
      <x:c r="A7" s="52" t="str">
        <x:v>Total checklist rows</x:v>
      </x:c>
      <x:c r="B7" s="53" t="n">
        <x:v>20</x:v>
      </x:c>
      <x:c r="D7" s="59" t="str">
        <x:v>SB03</x:v>
      </x:c>
      <x:c r="E7" s="23" t="str">
        <x:v>Layering And Project Extraction</x:v>
      </x:c>
      <x:c r="F7" s="23" t="str">
        <x:v>Yes</x:v>
      </x:c>
      <x:c r="G7" s="23" t="str">
        <x:v>SB01</x:v>
      </x:c>
      <x:c r="H7" s="60" t="str">
        <x:v>Dependency graph and tests</x:v>
      </x:c>
    </x:row>
    <x:row r="8">
      <x:c r="A8" s="52" t="str">
        <x:v>Planned rows</x:v>
      </x:c>
      <x:c r="B8" s="53" t="n">
        <x:f>COUNTIF('All Checklist'!$E$5:$E$24,"Planned")</x:f>
        <x:v>0</x:v>
      </x:c>
      <x:c r="D8" s="59" t="str">
        <x:v>SB04</x:v>
      </x:c>
      <x:c r="E8" s="23" t="str">
        <x:v>Docker And Persistence</x:v>
      </x:c>
      <x:c r="F8" s="23" t="str">
        <x:v>Yes</x:v>
      </x:c>
      <x:c r="G8" s="23" t="str">
        <x:v>SB01</x:v>
      </x:c>
      <x:c r="H8" s="60" t="str">
        <x:v>Restart/rebuild persistence proof</x:v>
      </x:c>
    </x:row>
    <x:row r="9">
      <x:c r="A9" s="52" t="str">
        <x:v>Ready rows</x:v>
      </x:c>
      <x:c r="B9" s="53" t="n">
        <x:f>COUNTIF('All Checklist'!$E$5:$E$24,"Ready")</x:f>
        <x:v>0</x:v>
      </x:c>
      <x:c r="D9" s="59" t="str">
        <x:v>SB05</x:v>
      </x:c>
      <x:c r="E9" s="23" t="str">
        <x:v>NodeOperator Decomposition</x:v>
      </x:c>
      <x:c r="F9" s="23" t="str">
        <x:v>No</x:v>
      </x:c>
      <x:c r="G9" s="23" t="str">
        <x:v>SB03</x:v>
      </x:c>
      <x:c r="H9" s="60" t="str">
        <x:v>Workflow tests and route smoke</x:v>
      </x:c>
    </x:row>
    <x:row r="10">
      <x:c r="A10" s="54" t="str">
        <x:v>Critical rows</x:v>
      </x:c>
      <x:c r="B10" s="55" t="n">
        <x:f>COUNTIF('All Checklist'!$C$5:$C$24,"Critical")</x:f>
        <x:v>10</x:v>
      </x:c>
      <x:c r="D10" s="59" t="str">
        <x:v>SB06</x:v>
      </x:c>
      <x:c r="E10" s="23" t="str">
        <x:v>Large Screen UI Decomposition</x:v>
      </x:c>
      <x:c r="F10" s="23" t="str">
        <x:v>No</x:v>
      </x:c>
      <x:c r="G10" s="23" t="str">
        <x:v>SB05</x:v>
      </x:c>
      <x:c r="H10" s="60" t="str">
        <x:v>Playwright desktop proof</x:v>
      </x:c>
    </x:row>
    <x:row r="11">
      <x:c r="D11" s="59" t="str">
        <x:v>SB07</x:v>
      </x:c>
      <x:c r="E11" s="23" t="str">
        <x:v>Performance Hardening</x:v>
      </x:c>
      <x:c r="F11" s="23" t="str">
        <x:v>No</x:v>
      </x:c>
      <x:c r="G11" s="23" t="str">
        <x:v>SB03</x:v>
      </x:c>
      <x:c r="H11" s="60" t="str">
        <x:v>Focused tests/perf evidence</x:v>
      </x:c>
    </x:row>
    <x:row r="12">
      <x:c r="D12" s="59" t="str">
        <x:v>SB08</x:v>
      </x:c>
      <x:c r="E12" s="23" t="str">
        <x:v>Storage Query Hardening</x:v>
      </x:c>
      <x:c r="F12" s="23" t="str">
        <x:v>Yes</x:v>
      </x:c>
      <x:c r="G12" s="23" t="str">
        <x:v>SB04/SB05</x:v>
      </x:c>
      <x:c r="H12" s="60" t="str">
        <x:v>Storage tests and manifest</x:v>
      </x:c>
    </x:row>
    <x:row r="13">
      <x:c r="D13" s="61" t="str">
        <x:v>SB09</x:v>
      </x:c>
      <x:c r="E13" s="62" t="str">
        <x:v>Release Validation</x:v>
      </x:c>
      <x:c r="F13" s="62" t="str">
        <x:v>Yes</x:v>
      </x:c>
      <x:c r="G13" s="62" t="str">
        <x:v>SB02/SB04/SB06/SB07/SB08</x:v>
      </x:c>
      <x:c r="H13" s="63" t="str">
        <x:v>Full closure proof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34" hidden="0" customWidth="1"/>
    <x:col min="8" max="8" width="42" hidden="0" customWidth="1"/>
  </x:cols>
  <x:sheetData>
    <x:row r="1">
      <x:c r="A1" s="3" t="str">
        <x:v>Open Source Publishing Preparation - Master Checklist</x:v>
      </x:c>
    </x:row>
    <x:row r="2">
      <x:c r="A2" s="6" t="str">
        <x:v>Editable execution checklist. Update Status and Evidence Required as each subbundle runs.</x:v>
      </x:c>
    </x:row>
    <x:row r="4">
      <x:c r="A4" s="37" t="str">
        <x:v>Area</x:v>
      </x:c>
      <x:c r="B4" s="38" t="str">
        <x:v>Item</x:v>
      </x:c>
      <x:c r="C4" s="38" t="str">
        <x:v>Priority</x:v>
      </x:c>
      <x:c r="D4" s="38" t="str">
        <x:v>Owner</x:v>
      </x:c>
      <x:c r="E4" s="38" t="str">
        <x:v>Status</x:v>
      </x:c>
      <x:c r="F4" s="38" t="str">
        <x:v>Evidence Required</x:v>
      </x:c>
      <x:c r="G4" s="38" t="str">
        <x:v>Source Reference</x:v>
      </x:c>
      <x:c r="H4" s="39" t="str">
        <x:v>Notes</x:v>
      </x:c>
    </x:row>
    <x:row r="5">
      <x:c r="A5" s="40" t="str">
        <x:v>SB01</x:v>
      </x:c>
      <x:c r="B5" s="29" t="str">
        <x:v>Refresh baseline build and warning inventory</x:v>
      </x:c>
      <x:c r="C5" s="29" t="str">
        <x:v>Critical</x:v>
      </x:c>
      <x:c r="D5" s="29" t="str">
        <x:v>SB01</x:v>
      </x:c>
      <x:c r="E5" s="29" t="str">
        <x:v>Done</x:v>
      </x:c>
      <x:c r="F5" s="29" t="str">
        <x:v>bundle://proof/SB01/transcripts/build-no-restore.txt</x:v>
      </x:c>
      <x:c r="G5" s="29" t="str">
        <x:v>repo://CanDoItAll.IPFS.slnx</x:v>
      </x:c>
      <x:c r="H5" s="41" t="str">
        <x:v>Build currently succeeds with 15 advisory warnings in the refreshed incremental baseline.</x:v>
      </x:c>
    </x:row>
    <x:row r="6">
      <x:c r="A6" s="42" t="str">
        <x:v>SB01</x:v>
      </x:c>
      <x:c r="B6" s="32" t="str">
        <x:v>Refresh EF absence scan</x:v>
      </x:c>
      <x:c r="C6" s="32" t="str">
        <x:v>High</x:v>
      </x:c>
      <x:c r="D6" s="32" t="str">
        <x:v>SB01</x:v>
      </x:c>
      <x:c r="E6" s="32" t="str">
        <x:v>Done</x:v>
      </x:c>
      <x:c r="F6" s="32" t="str">
        <x:v>bundle://proof/SB01/transcripts/ef-core-marker-scan.txt</x:v>
      </x:c>
      <x:c r="G6" s="32" t="str">
        <x:v>bundle://analysis/01-current-state.md</x:v>
      </x:c>
      <x:c r="H6" s="43" t="str">
        <x:v>No EF Core markers found in inspected source/tests.</x:v>
      </x:c>
    </x:row>
    <x:row r="7">
      <x:c r="A7" s="42" t="str">
        <x:v>SB01</x:v>
      </x:c>
      <x:c r="B7" s="32" t="str">
        <x:v>Refresh large-file hotspot inventory</x:v>
      </x:c>
      <x:c r="C7" s="32" t="str">
        <x:v>High</x:v>
      </x:c>
      <x:c r="D7" s="32" t="str">
        <x:v>SB01</x:v>
      </x:c>
      <x:c r="E7" s="32" t="str">
        <x:v>Done</x:v>
      </x:c>
      <x:c r="F7" s="32" t="str">
        <x:v>bundle://proof/SB01/transcripts/large-source-file-scan.txt</x:v>
      </x:c>
      <x:c r="G7" s="32" t="str">
        <x:v>bundle://inventories/01-scope-inventory.md</x:v>
      </x:c>
      <x:c r="H7" s="43" t="str">
        <x:v>Used to prioritize refactor work.</x:v>
      </x:c>
    </x:row>
    <x:row r="8">
      <x:c r="A8" s="42" t="str">
        <x:v>SB02</x:v>
      </x:c>
      <x:c r="B8" s="32" t="str">
        <x:v>Correct stale package metadata and URLs</x:v>
      </x:c>
      <x:c r="C8" s="32" t="str">
        <x:v>High</x:v>
      </x:c>
      <x:c r="D8" s="32" t="str">
        <x:v>SB02</x:v>
      </x:c>
      <x:c r="E8" s="32" t="str">
        <x:v>Done</x:v>
      </x:c>
      <x:c r="F8" s="32" t="str">
        <x:v>bundle://proof/SB02/transcripts/pack-engine-release.txt and bundle://proof/SB02/transcripts/pack-client-release.txt</x:v>
      </x:c>
      <x:c r="G8" s="32" t="str">
        <x:v>repo://src/CanDoItAll.IPFS.Engine/CanDoItAll.IPFS.Engine.csproj</x:v>
      </x:c>
      <x:c r="H8" s="43" t="str">
        <x:v>Engine and Client now point at the fyziktom/CanDoItAll.IPFS repository.</x:v>
      </x:c>
    </x:row>
    <x:row r="9">
      <x:c r="A9" s="42" t="str">
        <x:v>SB02</x:v>
      </x:c>
      <x:c r="B9" s="32" t="str">
        <x:v>Resolve or document dependency advisories</x:v>
      </x:c>
      <x:c r="C9" s="32" t="str">
        <x:v>Critical</x:v>
      </x:c>
      <x:c r="D9" s="32" t="str">
        <x:v>SB02</x:v>
      </x:c>
      <x:c r="E9" s="32" t="str">
        <x:v>Done</x:v>
      </x:c>
      <x:c r="F9" s="32" t="str">
        <x:v>bundle://proof/SB02/transcripts/package-vulnerable-after-updates.txt</x:v>
      </x:c>
      <x:c r="G9" s="32" t="str">
        <x:v>repo://src/CanDoItAll.IPFS.NodeControl/CanDoItAll.IPFS.NodeControl.csproj</x:v>
      </x:c>
      <x:c r="H9" s="43" t="str">
        <x:v>OpenTelemetry and SQLitePCLRaw advisories are clear after package updates and explicit SQLitePCLRaw bundle pin.</x:v>
      </x:c>
    </x:row>
    <x:row r="10">
      <x:c r="A10" s="42" t="str">
        <x:v>SB02</x:v>
      </x:c>
      <x:c r="B10" s="32" t="str">
        <x:v>Prepare open-source README and license posture</x:v>
      </x:c>
      <x:c r="C10" s="32" t="str">
        <x:v>High</x:v>
      </x:c>
      <x:c r="D10" s="32" t="str">
        <x:v>SB02</x:v>
      </x:c>
      <x:c r="E10" s="32" t="str">
        <x:v>Done</x:v>
      </x:c>
      <x:c r="F10" s="32" t="str">
        <x:v>repo://README.md and bundle://proof/SB02/transcripts/package-content-check.txt</x:v>
      </x:c>
      <x:c r="G10" s="32" t="str">
        <x:v>repo://README.md</x:v>
      </x:c>
      <x:c r="H10" s="43" t="str">
        <x:v>README documents license lineage and the component-package publication caveat without claiming docker proof.</x:v>
      </x:c>
    </x:row>
    <x:row r="11">
      <x:c r="A11" s="42" t="str">
        <x:v>SB03</x:v>
      </x:c>
      <x:c r="B11" s="32" t="str">
        <x:v>Define NodeControl abstractions</x:v>
      </x:c>
      <x:c r="C11" s="32" t="str">
        <x:v>Critical</x:v>
      </x:c>
      <x:c r="D11" s="32" t="str">
        <x:v>SB03</x:v>
      </x:c>
      <x:c r="E11" s="32" t="str">
        <x:v>Done</x:v>
      </x:c>
      <x:c r="F11" s="32" t="str">
        <x:v>bundle://proof/SB03/transcripts/project-reference-graph.txt</x:v>
      </x:c>
      <x:c r="G11" s="32" t="str">
        <x:v>repo://src/CanDoItAll.IPFS.NodeControl.Abstractions/Abstractions/INodeOperator.cs</x:v>
      </x:c>
      <x:c r="H11" s="43" t="str">
        <x:v>Contracts project created for future CLI and SB05.</x:v>
      </x:c>
    </x:row>
    <x:row r="12">
      <x:c r="A12" s="42" t="str">
        <x:v>SB03</x:v>
      </x:c>
      <x:c r="B12" s="32" t="str">
        <x:v>Extract reusable workflow/persistence boundaries</x:v>
      </x:c>
      <x:c r="C12" s="32" t="str">
        <x:v>Critical</x:v>
      </x:c>
      <x:c r="D12" s="32" t="str">
        <x:v>SB03</x:v>
      </x:c>
      <x:c r="E12" s="32" t="str">
        <x:v>Done</x:v>
      </x:c>
      <x:c r="F12" s="32" t="str">
        <x:v>bundle://proof/SB03/transcripts/focused-nodecontrol-layering-tests.txt</x:v>
      </x:c>
      <x:c r="G12" s="32" t="str">
        <x:v>bundle://architecture/01-target-solution.md</x:v>
      </x:c>
      <x:c r="H12" s="43" t="str">
        <x:v>Reusable contracts and models no longer depend on Blazor.</x:v>
      </x:c>
    </x:row>
    <x:row r="13">
      <x:c r="A13" s="42" t="str">
        <x:v>SB04</x:v>
      </x:c>
      <x:c r="B13" s="32" t="str">
        <x:v>Add root docker compose runtime</x:v>
      </x:c>
      <x:c r="C13" s="32" t="str">
        <x:v>Critical</x:v>
      </x:c>
      <x:c r="D13" s="32" t="str">
        <x:v>SB04</x:v>
      </x:c>
      <x:c r="E13" s="32" t="str">
        <x:v>Done</x:v>
      </x:c>
      <x:c r="F13" s="32" t="str">
        <x:v>bundle://proof/SB04/transcripts/docker-compose-up.txt</x:v>
      </x:c>
      <x:c r="G13" s="32" t="str">
        <x:v>repo://docker-compose.yml</x:v>
      </x:c>
      <x:c r="H13" s="43" t="str">
        <x:v>Compose starts Engine API and NodeControl UI with explicit container configuration.</x:v>
      </x:c>
    </x:row>
    <x:row r="14">
      <x:c r="A14" s="42" t="str">
        <x:v>SB04</x:v>
      </x:c>
      <x:c r="B14" s="32" t="str">
        <x:v>Preserve IPFS repo and app data volumes</x:v>
      </x:c>
      <x:c r="C14" s="32" t="str">
        <x:v>Critical</x:v>
      </x:c>
      <x:c r="D14" s="32" t="str">
        <x:v>SB04</x:v>
      </x:c>
      <x:c r="E14" s="32" t="str">
        <x:v>Done</x:v>
      </x:c>
      <x:c r="F14" s="32" t="str">
        <x:v>bundle://proof/SB04/transcripts/docker-compose-restart-and-verify.txt and bundle://proof/SB04/transcripts/docker-compose-rebuild-and-verify.txt</x:v>
      </x:c>
      <x:c r="G14" s="32" t="str">
        <x:v>repo://src/CanDoItAll.IPFS.NodeControl/appsettings.Container.json</x:v>
      </x:c>
      <x:c r="H14" s="43" t="str">
        <x:v>Pinned CID, peer identity, and remote pin request survived restart and rebuild.</x:v>
      </x:c>
    </x:row>
    <x:row r="15">
      <x:c r="A15" s="42" t="str">
        <x:v>SB05</x:v>
      </x:c>
      <x:c r="B15" s="32" t="str">
        <x:v>Split file/content/network/repo workflows</x:v>
      </x:c>
      <x:c r="C15" s="32" t="str">
        <x:v>High</x:v>
      </x:c>
      <x:c r="D15" s="32" t="str">
        <x:v>SB05</x:v>
      </x:c>
      <x:c r="E15" s="32" t="str">
        <x:v>Done</x:v>
      </x:c>
      <x:c r="F15" s="32" t="str">
        <x:v>bundle://proof/SB05/transcripts/focused-nodeoperator-decomposition-tests.txt</x:v>
      </x:c>
      <x:c r="G15" s="32" t="str">
        <x:v>repo://src/CanDoItAll.IPFS.NodeControl/Services/NodeOperatorService.cs</x:v>
      </x:c>
      <x:c r="H15" s="43" t="str">
        <x:v>Facade retained for compatibility; workflows now live behind file, explorer, content, network, and maintenance boundaries.</x:v>
      </x:c>
    </x:row>
    <x:row r="16">
      <x:c r="A16" s="42" t="str">
        <x:v>SB06</x:v>
      </x:c>
      <x:c r="B16" s="32" t="str">
        <x:v>Decompose Files page and related explorer UI</x:v>
      </x:c>
      <x:c r="C16" s="32" t="str">
        <x:v>High</x:v>
      </x:c>
      <x:c r="D16" s="32" t="str">
        <x:v>SB06</x:v>
      </x:c>
      <x:c r="E16" s="32" t="str">
        <x:v>Done</x:v>
      </x:c>
      <x:c r="F16" s="32" t="str">
        <x:v>bundle://proof/SB06/browser-smoke-summary.json and bundle://proof/SB06/transcripts/ui-line-counts-after-codebehind-split.txt</x:v>
      </x:c>
      <x:c r="G16" s="32" t="str">
        <x:v>repo://src/CanDoItAll.IPFS.NodeControl/Components/Pages/Files.razor.cs</x:v>
      </x:c>
      <x:c r="H16" s="43" t="str">
        <x:v>Files route uses existing child components and narrower workflows; the route-state code-behind remains a documented future helper-extraction candidate.</x:v>
      </x:c>
    </x:row>
    <x:row r="17">
      <x:c r="A17" s="42" t="str">
        <x:v>SB06</x:v>
      </x:c>
      <x:c r="B17" s="32" t="str">
        <x:v>Decompose Content, Network, Settings, and RemotePin modal</x:v>
      </x:c>
      <x:c r="C17" s="32" t="str">
        <x:v>High</x:v>
      </x:c>
      <x:c r="D17" s="32" t="str">
        <x:v>SB06</x:v>
      </x:c>
      <x:c r="E17" s="32" t="str">
        <x:v>Done</x:v>
      </x:c>
      <x:c r="F17" s="32" t="str">
        <x:v>bundle://proof/SB06/transcripts/browser-smoke-playwright-passing-filtered.txt</x:v>
      </x:c>
      <x:c r="G17" s="32" t="str">
        <x:v>repo://src/CanDoItAll.IPFS.NodeControl/Components/Pages/Network.razor</x:v>
      </x:c>
      <x:c r="H17" s="43" t="str">
        <x:v>Markup/code-behind split preserved busy/error/modal behavior at large desktop sizes.</x:v>
      </x:c>
    </x:row>
    <x:row r="18">
      <x:c r="A18" s="42" t="str">
        <x:v>SB07</x:v>
      </x:c>
      <x:c r="B18" s="32" t="str">
        <x:v>Triage blocking waits and async lifecycle</x:v>
      </x:c>
      <x:c r="C18" s="32" t="str">
        <x:v>High</x:v>
      </x:c>
      <x:c r="D18" s="32" t="str">
        <x:v>SB07</x:v>
      </x:c>
      <x:c r="E18" s="32" t="str">
        <x:v>Done</x:v>
      </x:c>
      <x:c r="F18" s="32" t="str">
        <x:v>bundle://proof/SB07/transcripts/performance-scan-after-sb07.txt and bundle://proof/SB07/performance-triage.md</x:v>
      </x:c>
      <x:c r="G18" s="32" t="str">
        <x:v>bundle://analysis/01-current-state.md</x:v>
      </x:c>
      <x:c r="H18" s="43" t="str">
        <x:v>NodeControl workflow sync wait removed; remaining test and inherited DNS/MDNS waits are documented deferrals.</x:v>
      </x:c>
    </x:row>
    <x:row r="19">
      <x:c r="A19" s="42" t="str">
        <x:v>SB07</x:v>
      </x:c>
      <x:c r="B19" s="32" t="str">
        <x:v>Triage allocation/string/LINQ hot paths</x:v>
      </x:c>
      <x:c r="C19" s="32" t="str">
        <x:v>Medium</x:v>
      </x:c>
      <x:c r="D19" s="32" t="str">
        <x:v>SB07</x:v>
      </x:c>
      <x:c r="E19" s="32" t="str">
        <x:v>Done</x:v>
      </x:c>
      <x:c r="F19" s="32" t="str">
        <x:v>bundle://proof/SB07/performance-triage.md</x:v>
      </x:c>
      <x:c r="G19" s="32" t="str">
        <x:v>repo://src/CanDoItAll.IPFS.Engine/Base/net-udns/DohClient.cs</x:v>
      </x:c>
      <x:c r="H19" s="43" t="str">
        <x:v>Fixed HTTP lifetime/stream/disposal and JSON options allocation; broad LINQ/string/allocation leads deferred pending profiling.</x:v>
      </x:c>
    </x:row>
    <x:row r="20">
      <x:c r="A20" s="42" t="str">
        <x:v>SB08</x:v>
      </x:c>
      <x:c r="B20" s="32" t="str">
        <x:v>Harden ExplorerIndexStore SQLite behavior</x:v>
      </x:c>
      <x:c r="C20" s="32" t="str">
        <x:v>Critical</x:v>
      </x:c>
      <x:c r="D20" s="32" t="str">
        <x:v>SB08</x:v>
      </x:c>
      <x:c r="E20" s="32" t="str">
        <x:v>Done</x:v>
      </x:c>
      <x:c r="F20" s="32" t="str">
        <x:v>bundle://proof/SB08/transcripts/sqlite-storage-source-proof.txt and bundle://proof/SB08/transcripts/focused-storage-tests.txt</x:v>
      </x:c>
      <x:c r="G20" s="32" t="str">
        <x:v>repo://src/CanDoItAll.IPFS.NodeControl/Services/ExplorerIndexStore.cs</x:v>
      </x:c>
      <x:c r="H20" s="43" t="str">
        <x:v>EF Core is absent; ExplorerIndexStore now has a pinned-root list index, typed parameters, and normalized target updates.</x:v>
      </x:c>
    </x:row>
    <x:row r="21">
      <x:c r="A21" s="42" t="str">
        <x:v>SB08</x:v>
      </x:c>
      <x:c r="B21" s="32" t="str">
        <x:v>Harden JSON stores and log rotation</x:v>
      </x:c>
      <x:c r="C21" s="32" t="str">
        <x:v>High</x:v>
      </x:c>
      <x:c r="D21" s="32" t="str">
        <x:v>SB08</x:v>
      </x:c>
      <x:c r="E21" s="32" t="str">
        <x:v>Done</x:v>
      </x:c>
      <x:c r="F21" s="32" t="str">
        <x:v>bundle://proof/SB08/transcripts/focused-storage-tests.txt</x:v>
      </x:c>
      <x:c r="G21" s="32" t="str">
        <x:v>repo://src/CanDoItAll.IPFS.NodeControl/Services/ApplicationLogStore.cs</x:v>
      </x:c>
      <x:c r="H21" s="43" t="str">
        <x:v>JSON store atomic/quarantine behavior preserved; log rotation avoids repeated full active-file counts.</x:v>
      </x:c>
    </x:row>
    <x:row r="22">
      <x:c r="A22" s="42" t="str">
        <x:v>SB09</x:v>
      </x:c>
      <x:c r="B22" s="32" t="str">
        <x:v>Run final build/test/package validation</x:v>
      </x:c>
      <x:c r="C22" s="32" t="str">
        <x:v>Critical</x:v>
      </x:c>
      <x:c r="D22" s="32" t="str">
        <x:v>SB09</x:v>
      </x:c>
      <x:c r="E22" s="32" t="str">
        <x:v>Done</x:v>
      </x:c>
      <x:c r="F22" s="32" t="str">
        <x:v>bundle://proof/SB09/transcripts/test-final-full-after-progress-fix.txt and bundle://proof/SB09/transcripts/build-pack-client-final-after-fixes.txt</x:v>
      </x:c>
      <x:c r="G22" s="32" t="str">
        <x:v>repo://CanDoItAll.IPFS.slnx</x:v>
      </x:c>
      <x:c r="H22" s="43" t="str">
        <x:v>Full solution tests and package validation passed after final pin/progress fixes.</x:v>
      </x:c>
    </x:row>
    <x:row r="23">
      <x:c r="A23" s="42" t="str">
        <x:v>SB09</x:v>
      </x:c>
      <x:c r="B23" s="32" t="str">
        <x:v>Run final docker and browser validation</x:v>
      </x:c>
      <x:c r="C23" s="32" t="str">
        <x:v>Critical</x:v>
      </x:c>
      <x:c r="D23" s="32" t="str">
        <x:v>SB09</x:v>
      </x:c>
      <x:c r="E23" s="32" t="str">
        <x:v>Done</x:v>
      </x:c>
      <x:c r="F23" s="32" t="str">
        <x:v>bundle://proof/SB09/transcripts/docker-multinode-e2e.txt and bundle://proof/SB09/browser-smoke-summary.json</x:v>
      </x:c>
      <x:c r="G23" s="32" t="str">
        <x:v>bundle://reviews/01-execution-report.md</x:v>
      </x:c>
      <x:c r="H23" s="43" t="str">
        <x:v>Docker multi-node pin/unpin proof and 1920x1080/1600x900 browser smoke passed.</x:v>
      </x:c>
    </x:row>
    <x:row r="24">
      <x:c r="A24" s="44" t="str">
        <x:v>SB09</x:v>
      </x:c>
      <x:c r="B24" s="45" t="str">
        <x:v>Close raw notes and workbook statuses</x:v>
      </x:c>
      <x:c r="C24" s="45" t="str">
        <x:v>Critical</x:v>
      </x:c>
      <x:c r="D24" s="45" t="str">
        <x:v>SB09</x:v>
      </x:c>
      <x:c r="E24" s="45" t="str">
        <x:v>Done</x:v>
      </x:c>
      <x:c r="F24" s="45" t="str">
        <x:v>bundle://proof/SB09/manifest.md</x:v>
      </x:c>
      <x:c r="G24" s="45" t="str">
        <x:v>bundle://traceability/01-requirement-traceability.md</x:v>
      </x:c>
      <x:c r="H24" s="46" t="str">
        <x:v>Raw notes are closed with artifact-backed proof; legacy marker follow-ups are explicitly deferred.</x:v>
      </x:c>
    </x:row>
  </x:sheetData>
  <x:mergeCells>
    <x:mergeCell ref="A1:H1"/>
    <x:mergeCell ref="A2:H2"/>
  </x:mergeCells>
  <x:dataValidations count="2">
    <x:dataValidation type="list" sqref="E5:E24">
      <x:formula1>"Planned,Ready,In Progress,Blocked,Done,Deferred"</x:formula1>
    </x:dataValidation>
    <x:dataValidation type="list" sqref="C5:C24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2a6d9c9e5e4b7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3" t="str">
        <x:v>Architecture Hotspots</x:v>
      </x:c>
    </x:row>
    <x:row r="2">
      <x:c r="A2" s="6" t="str">
        <x:v>Large or mixed-responsibility files that drive the refactor plan.</x:v>
      </x:c>
    </x:row>
    <x:row r="4">
      <x:c r="A4" s="37" t="str">
        <x:v>File</x:v>
      </x:c>
      <x:c r="B4" s="38" t="str">
        <x:v>Approx Lines</x:v>
      </x:c>
      <x:c r="C4" s="38" t="str">
        <x:v>Concern</x:v>
      </x:c>
      <x:c r="D4" s="38" t="str">
        <x:v>Owner</x:v>
      </x:c>
      <x:c r="E4" s="38" t="str">
        <x:v>Status</x:v>
      </x:c>
      <x:c r="F4" s="39" t="str">
        <x:v>Proposed Isolation</x:v>
      </x:c>
    </x:row>
    <x:row r="5">
      <x:c r="A5" s="40" t="str">
        <x:v>repo://src/CanDoItAll.IPFS.NodeControl/wwwroot/app.css</x:v>
      </x:c>
      <x:c r="B5" s="29" t="n">
        <x:v>1845</x:v>
      </x:c>
      <x:c r="C5" s="29" t="str">
        <x:v>Global CSS surface is broad, but SB06 screenshot proof did not require CSS surgery.</x:v>
      </x:c>
      <x:c r="D5" s="29" t="str">
        <x:v>SB06</x:v>
      </x:c>
      <x:c r="E5" s="29" t="str">
        <x:v>Deferred</x:v>
      </x:c>
      <x:c r="F5" s="41" t="str">
        <x:v>Revisit only with a concrete maintainability driver; no mobile redesign.</x:v>
      </x:c>
    </x:row>
    <x:row r="6">
      <x:c r="A6" s="42" t="str">
        <x:v>repo://src/CanDoItAll.IPFS.NodeControl/Services/NodeOperatorService.cs</x:v>
      </x:c>
      <x:c r="B6" s="32" t="n">
        <x:v>134</x:v>
      </x:c>
      <x:c r="C6" s="32" t="str">
        <x:v>Compatibility facade over decomposed workflow services.</x:v>
      </x:c>
      <x:c r="D6" s="32" t="str">
        <x:v>SB03/SB05</x:v>
      </x:c>
      <x:c r="E6" s="32" t="str">
        <x:v>Done</x:v>
      </x:c>
      <x:c r="F6" s="43" t="str">
        <x:v>SB05 split file, explorer, content, network, and maintenance workflows; SB06 can migrate pages to narrower dependencies.</x:v>
      </x:c>
    </x:row>
    <x:row r="7">
      <x:c r="A7" s="42" t="str">
        <x:v>repo://src/CanDoItAll.IPFS.Engine/Base/peer-talk/Swarm.cs</x:v>
      </x:c>
      <x:c r="B7" s="32" t="n">
        <x:v>971</x:v>
      </x:c>
      <x:c r="C7" s="32" t="str">
        <x:v>Long runtime/network file with async/lifecycle performance risk.</x:v>
      </x:c>
      <x:c r="D7" s="32" t="str">
        <x:v>SB07</x:v>
      </x:c>
      <x:c r="E7" s="32" t="str">
        <x:v>Planned</x:v>
      </x:c>
      <x:c r="F7" s="43" t="str">
        <x:v>Review lifecycle, cancellation, allocation, and error paths.</x:v>
      </x:c>
    </x:row>
    <x:row r="8">
      <x:c r="A8" s="42" t="str">
        <x:v>repo://tests/CanDoItAll.IPFS.Tests/CoreApi/FileSystemApiTest.cs</x:v>
      </x:c>
      <x:c r="B8" s="32" t="n">
        <x:v>920</x:v>
      </x:c>
      <x:c r="C8" s="32" t="str">
        <x:v>Large test file may hide coverage gaps and brittle setup.</x:v>
      </x:c>
      <x:c r="D8" s="32" t="str">
        <x:v>SB01/SB09</x:v>
      </x:c>
      <x:c r="E8" s="32" t="str">
        <x:v>Planned</x:v>
      </x:c>
      <x:c r="F8" s="43" t="str">
        <x:v>Use as regression baseline; refactor only if needed for proof.</x:v>
      </x:c>
    </x:row>
    <x:row r="9">
      <x:c r="A9" s="42" t="str">
        <x:v>repo://src/CanDoItAll.IPFS.NodeControl/Components/Pages/Files.razor.cs</x:v>
      </x:c>
      <x:c r="B9" s="32" t="n">
        <x:v>848</x:v>
      </x:c>
      <x:c r="C9" s="32" t="str">
        <x:v>Page state, upload flows, pinned cache, explorer navigation, and refresh remain coupled after dependency narrowing.</x:v>
      </x:c>
      <x:c r="D9" s="32" t="str">
        <x:v>SB06/SB09</x:v>
      </x:c>
      <x:c r="E9" s="32" t="str">
        <x:v>In Progress</x:v>
      </x:c>
      <x:c r="F9" s="43" t="str">
        <x:v>Existing child components and narrower workflows are in place; future state-helper extraction remains the clear next split.</x:v>
      </x:c>
    </x:row>
    <x:row r="10">
      <x:c r="A10" s="42" t="str">
        <x:v>repo://src/CanDoItAll.IPFS.NodeControl/Components/Pages/Content.razor</x:v>
      </x:c>
      <x:c r="B10" s="32" t="n">
        <x:v>401</x:v>
      </x:c>
      <x:c r="C10" s="32" t="str">
        <x:v>Markup is now split from 397 lines of code-behind handlers.</x:v>
      </x:c>
      <x:c r="D10" s="32" t="str">
        <x:v>SB06</x:v>
      </x:c>
      <x:c r="E10" s="32" t="str">
        <x:v>Done</x:v>
      </x:c>
      <x:c r="F10" s="43" t="str">
        <x:v>Code-behind split and workflow dependency migration completed with browser proof.</x:v>
      </x:c>
    </x:row>
    <x:row r="11">
      <x:c r="A11" s="42" t="str">
        <x:v>repo://src/CanDoItAll.IPFS.NodeControl/Components/Pages/Network.razor</x:v>
      </x:c>
      <x:c r="B11" s="32" t="n">
        <x:v>377</x:v>
      </x:c>
      <x:c r="C11" s="32" t="str">
        <x:v>Markup is now split from 423 lines of code-behind handlers.</x:v>
      </x:c>
      <x:c r="D11" s="32" t="str">
        <x:v>SB06</x:v>
      </x:c>
      <x:c r="E11" s="32" t="str">
        <x:v>Done</x:v>
      </x:c>
      <x:c r="F11" s="43" t="str">
        <x:v>Network workflow dependency migration completed; live PubSub keeps direct client access for now.</x:v>
      </x:c>
    </x:row>
    <x:row r="12">
      <x:c r="A12" s="44" t="str">
        <x:v>repo://src/CanDoItAll.IPFS.NodeControl/Components/Pages/RemotePinShareModal.razor</x:v>
      </x:c>
      <x:c r="B12" s="45" t="n">
        <x:v>246</x:v>
      </x:c>
      <x:c r="C12" s="45" t="str">
        <x:v>Modal markup is now split from 370 lines of code-behind handlers.</x:v>
      </x:c>
      <x:c r="D12" s="45" t="str">
        <x:v>SB06</x:v>
      </x:c>
      <x:c r="E12" s="45" t="str">
        <x:v>Done</x:v>
      </x:c>
      <x:c r="F12" s="46" t="str">
        <x:v>Target/probe/send/export behavior preserved with modal browser proof.</x:v>
      </x:c>
    </x:row>
  </x:sheetData>
  <x:mergeCells>
    <x:mergeCell ref="A1:H1"/>
    <x:mergeCell ref="A2:H2"/>
  </x:mergeCells>
  <x:dataValidations count="1">
    <x:dataValidation type="list" sqref="E5:E12">
      <x:formula1>"Planned,Ready,In Progress,Blocked,Done,Deferred"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cfbfebb7bf43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34" hidden="0" customWidth="1"/>
    <x:col min="7" max="7" width="42" hidden="0" customWidth="1"/>
  </x:cols>
  <x:sheetData>
    <x:row r="1">
      <x:c r="A1" s="3" t="str">
        <x:v>Open Source Publishing Checks</x:v>
      </x:c>
    </x:row>
    <x:row r="2">
      <x:c r="A2" s="6" t="str">
        <x:v>Metadata, docs, package, license, and dependency readiness before public release.</x:v>
      </x:c>
    </x:row>
    <x:row r="4">
      <x:c r="A4" s="37" t="str">
        <x:v>Check</x:v>
      </x:c>
      <x:c r="B4" s="38" t="str">
        <x:v>Priority</x:v>
      </x:c>
      <x:c r="C4" s="38" t="str">
        <x:v>Owner</x:v>
      </x:c>
      <x:c r="D4" s="38" t="str">
        <x:v>Status</x:v>
      </x:c>
      <x:c r="E4" s="38" t="str">
        <x:v>Evidence Required</x:v>
      </x:c>
      <x:c r="F4" s="38" t="str">
        <x:v>Source Reference</x:v>
      </x:c>
      <x:c r="G4" s="39" t="str">
        <x:v>Notes</x:v>
      </x:c>
    </x:row>
    <x:row r="5">
      <x:c r="A5" s="40" t="str">
        <x:v>Replace stale upstream package URLs or document lineage</x:v>
      </x:c>
      <x:c r="B5" s="29" t="str">
        <x:v>High</x:v>
      </x:c>
      <x:c r="C5" s="29" t="str">
        <x:v>SB02</x:v>
      </x:c>
      <x:c r="D5" s="29" t="str">
        <x:v>Done</x:v>
      </x:c>
      <x:c r="E5" s="29" t="str">
        <x:v>Project file diff and pack transcripts</x:v>
      </x:c>
      <x:c r="F5" s="29" t="str">
        <x:v>repo://src/CanDoItAll.IPFS.Engine/CanDoItAll.IPFS.Engine.csproj</x:v>
      </x:c>
      <x:c r="G5" s="41" t="str">
        <x:v>Engine and Client now use the current repository URL while retaining lineage notes.</x:v>
      </x:c>
    </x:row>
    <x:row r="6">
      <x:c r="A6" s="42" t="str">
        <x:v>Replace deprecated PackageIconUrl usage</x:v>
      </x:c>
      <x:c r="B6" s="32" t="str">
        <x:v>Medium</x:v>
      </x:c>
      <x:c r="C6" s="32" t="str">
        <x:v>SB02</x:v>
      </x:c>
      <x:c r="D6" s="32" t="str">
        <x:v>Done</x:v>
      </x:c>
      <x:c r="E6" s="32" t="str">
        <x:v>Pack validation and package content check</x:v>
      </x:c>
      <x:c r="F6" s="32" t="str">
        <x:v>repo://src/CanDoItAll.IPFS.Client/CanDoItAll.IPFS.Client.csproj</x:v>
      </x:c>
      <x:c r="G6" s="43" t="str">
        <x:v>Packages include README.md and package-icon.png.</x:v>
      </x:c>
    </x:row>
    <x:row r="7">
      <x:c r="A7" s="42" t="str">
        <x:v>Review inherited LICENSE and copyright posture</x:v>
      </x:c>
      <x:c r="B7" s="32" t="str">
        <x:v>Critical</x:v>
      </x:c>
      <x:c r="C7" s="32" t="str">
        <x:v>SB02</x:v>
      </x:c>
      <x:c r="D7" s="32" t="str">
        <x:v>Done</x:v>
      </x:c>
      <x:c r="E7" s="32" t="str">
        <x:v>README lineage note</x:v>
      </x:c>
      <x:c r="F7" s="32" t="str">
        <x:v>repo://LICENSE</x:v>
      </x:c>
      <x:c r="G7" s="43" t="str">
        <x:v>License history retained; package metadata adds CanDoItAll contributors.</x:v>
      </x:c>
    </x:row>
    <x:row r="8">
      <x:c r="A8" s="42" t="str">
        <x:v>Update README from local-run notes to open-source onboarding</x:v>
      </x:c>
      <x:c r="B8" s="32" t="str">
        <x:v>High</x:v>
      </x:c>
      <x:c r="C8" s="32" t="str">
        <x:v>SB02/SB04/SB09</x:v>
      </x:c>
      <x:c r="D8" s="32" t="str">
        <x:v>Done</x:v>
      </x:c>
      <x:c r="E8" s="32" t="str">
        <x:v>README diff and docker persistence proof</x:v>
      </x:c>
      <x:c r="F8" s="32" t="str">
        <x:v>repo://README.md</x:v>
      </x:c>
      <x:c r="G8" s="43" t="str">
        <x:v>Docker instructions now reflect the SB04 compose runtime proof.</x:v>
      </x:c>
    </x:row>
    <x:row r="9">
      <x:c r="A9" s="44" t="str">
        <x:v>Resolve or accept vulnerability advisories</x:v>
      </x:c>
      <x:c r="B9" s="45" t="str">
        <x:v>Critical</x:v>
      </x:c>
      <x:c r="C9" s="45" t="str">
        <x:v>SB02</x:v>
      </x:c>
      <x:c r="D9" s="45" t="str">
        <x:v>Done</x:v>
      </x:c>
      <x:c r="E9" s="45" t="str">
        <x:v>bundle://proof/SB02/transcripts/package-vulnerable-after-updates.txt</x:v>
      </x:c>
      <x:c r="F9" s="45" t="str">
        <x:v>repo://src/CanDoItAll.IPFS.NodeControl/CanDoItAll.IPFS.NodeControl.csproj</x:v>
      </x:c>
      <x:c r="G9" s="46" t="str">
        <x:v>No vulnerable packages reported after update.</x:v>
      </x:c>
    </x:row>
  </x:sheetData>
  <x:mergeCells>
    <x:mergeCell ref="A1:H1"/>
    <x:mergeCell ref="A2:H2"/>
  </x:mergeCells>
  <x:dataValidations count="2">
    <x:dataValidation type="list" sqref="D5:D9">
      <x:formula1>"Planned,Ready,In Progress,Blocked,Done,Deferred"</x:formula1>
    </x:dataValidation>
    <x:dataValidation type="list" sqref="B5:B9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796e3c2e4e43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34" hidden="0" customWidth="1"/>
    <x:col min="7" max="7" width="42" hidden="0" customWidth="1"/>
  </x:cols>
  <x:sheetData>
    <x:row r="1">
      <x:c r="A1" s="3" t="str">
        <x:v>Docker Persistence Plan</x:v>
      </x:c>
    </x:row>
    <x:row r="2">
      <x:c r="A2" s="6" t="str">
        <x:v>Compose implementation and proof checklist. SB04 completed the first release-critical docker proof.</x:v>
      </x:c>
    </x:row>
    <x:row r="4">
      <x:c r="A4" s="37" t="str">
        <x:v>Check</x:v>
      </x:c>
      <x:c r="B4" s="38" t="str">
        <x:v>Priority</x:v>
      </x:c>
      <x:c r="C4" s="38" t="str">
        <x:v>Owner</x:v>
      </x:c>
      <x:c r="D4" s="38" t="str">
        <x:v>Status</x:v>
      </x:c>
      <x:c r="E4" s="38" t="str">
        <x:v>Evidence Required</x:v>
      </x:c>
      <x:c r="F4" s="38" t="str">
        <x:v>Source Reference</x:v>
      </x:c>
      <x:c r="G4" s="39" t="str">
        <x:v>Notes</x:v>
      </x:c>
    </x:row>
    <x:row r="5">
      <x:c r="A5" s="40" t="str">
        <x:v>Compose starts node/API and required NodeControl runtime</x:v>
      </x:c>
      <x:c r="B5" s="29" t="str">
        <x:v>Critical</x:v>
      </x:c>
      <x:c r="C5" s="29" t="str">
        <x:v>SB04</x:v>
      </x:c>
      <x:c r="D5" s="29" t="str">
        <x:v>Done</x:v>
      </x:c>
      <x:c r="E5" s="29" t="str">
        <x:v>bundle://proof/SB04/transcripts/docker-compose-up.txt</x:v>
      </x:c>
      <x:c r="F5" s="29" t="str">
        <x:v>repo://docker-compose.yml</x:v>
      </x:c>
      <x:c r="G5" s="41" t="str">
        <x:v>Topology is Engine API plus NodeControl UI.</x:v>
      </x:c>
    </x:row>
    <x:row r="6">
      <x:c r="A6" s="42" t="str">
        <x:v>IPFS repo data is in a durable volume</x:v>
      </x:c>
      <x:c r="B6" s="32" t="str">
        <x:v>Critical</x:v>
      </x:c>
      <x:c r="C6" s="32" t="str">
        <x:v>SB04</x:v>
      </x:c>
      <x:c r="D6" s="32" t="str">
        <x:v>Done</x:v>
      </x:c>
      <x:c r="E6" s="32" t="str">
        <x:v>bundle://proof/SB04/transcripts/docker-compose-restart-and-verify.txt</x:v>
      </x:c>
      <x:c r="F6" s="32" t="str">
        <x:v>repo://docker-compose.yml</x:v>
      </x:c>
      <x:c r="G6" s="43" t="str">
        <x:v>IPFS_PATH is /data/ipfs with named volume ipfs-node-data.</x:v>
      </x:c>
    </x:row>
    <x:row r="7">
      <x:c r="A7" s="42" t="str">
        <x:v>Explorer SQLite database is in a durable volume</x:v>
      </x:c>
      <x:c r="B7" s="32" t="str">
        <x:v>Critical</x:v>
      </x:c>
      <x:c r="C7" s="32" t="str">
        <x:v>SB04/SB08</x:v>
      </x:c>
      <x:c r="D7" s="32" t="str">
        <x:v>Done</x:v>
      </x:c>
      <x:c r="E7" s="32" t="str">
        <x:v>bundle://proof/SB04/transcripts/volume-files-before-restart.txt</x:v>
      </x:c>
      <x:c r="F7" s="32" t="str">
        <x:v>repo://src/CanDoItAll.IPFS.NodeControl/appsettings.Container.json</x:v>
      </x:c>
      <x:c r="G7" s="43" t="str">
        <x:v>Explorer DB is configured under /data/node-control/explorer-index.</x:v>
      </x:c>
    </x:row>
    <x:row r="8">
      <x:c r="A8" s="42" t="str">
        <x:v>Settings and remote pin JSON stores are durable</x:v>
      </x:c>
      <x:c r="B8" s="32" t="str">
        <x:v>High</x:v>
      </x:c>
      <x:c r="C8" s="32" t="str">
        <x:v>SB04/SB08</x:v>
      </x:c>
      <x:c r="D8" s="32" t="str">
        <x:v>Done</x:v>
      </x:c>
      <x:c r="E8" s="32" t="str">
        <x:v>bundle://proof/SB04/transcripts/docker-compose-rebuild-and-verify.txt</x:v>
      </x:c>
      <x:c r="F8" s="32" t="str">
        <x:v>repo://src/CanDoItAll.IPFS.NodeControl/appsettings.Container.json</x:v>
      </x:c>
      <x:c r="G8" s="43" t="str">
        <x:v>Remote pin request JSON survived restart and rebuild.</x:v>
      </x:c>
    </x:row>
    <x:row r="9">
      <x:c r="A9" s="42" t="str">
        <x:v>Application logs are durable and bounded</x:v>
      </x:c>
      <x:c r="B9" s="32" t="str">
        <x:v>Medium</x:v>
      </x:c>
      <x:c r="C9" s="32" t="str">
        <x:v>SB04/SB08</x:v>
      </x:c>
      <x:c r="D9" s="32" t="str">
        <x:v>Done</x:v>
      </x:c>
      <x:c r="E9" s="32" t="str">
        <x:v>bundle://proof/SB04/transcripts/volume-files-before-restart.txt and bundle://proof/SB08/transcripts/focused-storage-tests.txt</x:v>
      </x:c>
      <x:c r="F9" s="32" t="str">
        <x:v>repo://src/CanDoItAll.IPFS.NodeControl/Services/ApplicationLogStore.cs</x:v>
      </x:c>
      <x:c r="G9" s="43" t="str">
        <x:v>Durable log path is configured and rotation accounting is covered by SB08 tests.</x:v>
      </x:c>
    </x:row>
    <x:row r="10">
      <x:c r="A10" s="44" t="str">
        <x:v>Secrets are not committed</x:v>
      </x:c>
      <x:c r="B10" s="45" t="str">
        <x:v>Critical</x:v>
      </x:c>
      <x:c r="C10" s="45" t="str">
        <x:v>SB04</x:v>
      </x:c>
      <x:c r="D10" s="45" t="str">
        <x:v>Done</x:v>
      </x:c>
      <x:c r="E10" s="45" t="str">
        <x:v>repo://docker-compose.yml</x:v>
      </x:c>
      <x:c r="F10" s="45" t="str">
        <x:v>repo://docker-compose.yml</x:v>
      </x:c>
      <x:c r="G10" s="46" t="str">
        <x:v>IPFS_PASS is required from the caller environment.</x:v>
      </x:c>
    </x:row>
  </x:sheetData>
  <x:mergeCells>
    <x:mergeCell ref="A1:H1"/>
    <x:mergeCell ref="A2:H2"/>
  </x:mergeCells>
  <x:dataValidations count="2">
    <x:dataValidation type="list" sqref="D5:D10">
      <x:formula1>"Planned,Ready,In Progress,Blocked,Done,Deferred"</x:formula1>
    </x:dataValidation>
    <x:dataValidation type="list" sqref="B5:B10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4cabb3b87845a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34" hidden="0" customWidth="1"/>
    <x:col min="7" max="7" width="42" hidden="0" customWidth="1"/>
  </x:cols>
  <x:sheetData>
    <x:row r="1">
      <x:c r="A1" s="3" t="str">
        <x:v>Large Screen UI Decomposition</x:v>
      </x:c>
    </x:row>
    <x:row r="2">
      <x:c r="A2" s="6" t="str">
        <x:v>Desktop-only UI maintainability checklist. Do not tune small or medium viewports.</x:v>
      </x:c>
    </x:row>
    <x:row r="4">
      <x:c r="A4" s="37" t="str">
        <x:v>UI Area</x:v>
      </x:c>
      <x:c r="B4" s="38" t="str">
        <x:v>Priority</x:v>
      </x:c>
      <x:c r="C4" s="38" t="str">
        <x:v>Owner</x:v>
      </x:c>
      <x:c r="D4" s="38" t="str">
        <x:v>Status</x:v>
      </x:c>
      <x:c r="E4" s="38" t="str">
        <x:v>Evidence Required</x:v>
      </x:c>
      <x:c r="F4" s="38" t="str">
        <x:v>Source Reference</x:v>
      </x:c>
      <x:c r="G4" s="39" t="str">
        <x:v>Notes</x:v>
      </x:c>
    </x:row>
    <x:row r="5">
      <x:c r="A5" s="40" t="str">
        <x:v>Files route shell and explorer state</x:v>
      </x:c>
      <x:c r="B5" s="29" t="str">
        <x:v>High</x:v>
      </x:c>
      <x:c r="C5" s="29" t="str">
        <x:v>SB06</x:v>
      </x:c>
      <x:c r="D5" s="29" t="str">
        <x:v>Done</x:v>
      </x:c>
      <x:c r="E5" s="29" t="str">
        <x:v>bundle://proof/SB06/screenshots/sb06-files-1920x1080.png and bundle://proof/SB06/screenshots/sb06-files-1600x900.png</x:v>
      </x:c>
      <x:c r="F5" s="29" t="str">
        <x:v>repo://src/CanDoItAll.IPFS.NodeControl/Components/Pages/Files.razor.cs</x:v>
      </x:c>
      <x:c r="G5" s="41" t="str">
        <x:v>Uploads, pinned items, refresh, and errors remain covered; future state-helper extraction is documented.</x:v>
      </x:c>
    </x:row>
    <x:row r="6">
      <x:c r="A6" s="42" t="str">
        <x:v>Content command panels</x:v>
      </x:c>
      <x:c r="B6" s="32" t="str">
        <x:v>High</x:v>
      </x:c>
      <x:c r="C6" s="32" t="str">
        <x:v>SB06</x:v>
      </x:c>
      <x:c r="D6" s="32" t="str">
        <x:v>Done</x:v>
      </x:c>
      <x:c r="E6" s="32" t="str">
        <x:v>bundle://proof/SB06/screenshots/sb06-content-1920x1080.png and focused component tests</x:v>
      </x:c>
      <x:c r="F6" s="32" t="str">
        <x:v>repo://src/CanDoItAll.IPFS.NodeControl/Components/Pages/Content.razor</x:v>
      </x:c>
      <x:c r="G6" s="43" t="str">
        <x:v>Block/object/DAG/name/key panels split into markup plus code-behind.</x:v>
      </x:c>
    </x:row>
    <x:row r="7">
      <x:c r="A7" s="42" t="str">
        <x:v>Network panels</x:v>
      </x:c>
      <x:c r="B7" s="32" t="str">
        <x:v>High</x:v>
      </x:c>
      <x:c r="C7" s="32" t="str">
        <x:v>SB06</x:v>
      </x:c>
      <x:c r="D7" s="32" t="str">
        <x:v>Done</x:v>
      </x:c>
      <x:c r="E7" s="32" t="str">
        <x:v>bundle://proof/SB06/screenshots/sb06-network-1920x1080.png and console review summary</x:v>
      </x:c>
      <x:c r="F7" s="32" t="str">
        <x:v>repo://src/CanDoItAll.IPFS.NodeControl/Components/Pages/Network.razor</x:v>
      </x:c>
      <x:c r="G7" s="43" t="str">
        <x:v>Peer, bootstrap, filters, DHT, and PubSub behavior preserved.</x:v>
      </x:c>
    </x:row>
    <x:row r="8">
      <x:c r="A8" s="42" t="str">
        <x:v>Remote pin share modal</x:v>
      </x:c>
      <x:c r="B8" s="32" t="str">
        <x:v>High</x:v>
      </x:c>
      <x:c r="C8" s="32" t="str">
        <x:v>SB06</x:v>
      </x:c>
      <x:c r="D8" s="32" t="str">
        <x:v>Done</x:v>
      </x:c>
      <x:c r="E8" s="32" t="str">
        <x:v>bundle://proof/SB06/screenshots/sb06-remote-pin-share-modal-1920x1080.png and modal open proof</x:v>
      </x:c>
      <x:c r="F8" s="32" t="str">
        <x:v>repo://src/CanDoItAll.IPFS.NodeControl/Components/Pages/RemotePinShareModal.razor</x:v>
      </x:c>
      <x:c r="G8" s="43" t="str">
        <x:v>Modal markup and code-behind split; opened successfully at both desktop viewports.</x:v>
      </x:c>
    </x:row>
    <x:row r="9">
      <x:c r="A9" s="42" t="str">
        <x:v>Settings route</x:v>
      </x:c>
      <x:c r="B9" s="32" t="str">
        <x:v>Medium</x:v>
      </x:c>
      <x:c r="C9" s="32" t="str">
        <x:v>SB06</x:v>
      </x:c>
      <x:c r="D9" s="32" t="str">
        <x:v>Done</x:v>
      </x:c>
      <x:c r="E9" s="32" t="str">
        <x:v>bundle://proof/SB06/screenshots/sb06-settings-1920x1080.png</x:v>
      </x:c>
      <x:c r="F9" s="32" t="str">
        <x:v>repo://src/CanDoItAll.IPFS.NodeControl/Components/Pages/Settings.razor</x:v>
      </x:c>
      <x:c r="G9" s="43" t="str">
        <x:v>Configuration workflows preserved with maintenance workflow dependency.</x:v>
      </x:c>
    </x:row>
    <x:row r="10">
      <x:c r="A10" s="44" t="str">
        <x:v>Global CSS organization</x:v>
      </x:c>
      <x:c r="B10" s="45" t="str">
        <x:v>Medium</x:v>
      </x:c>
      <x:c r="C10" s="45" t="str">
        <x:v>SB06</x:v>
      </x:c>
      <x:c r="D10" s="45" t="str">
        <x:v>Deferred</x:v>
      </x:c>
      <x:c r="E10" s="45" t="str">
        <x:v>bundle://proof/SB06/browser-smoke-summary.json</x:v>
      </x:c>
      <x:c r="F10" s="45" t="str">
        <x:v>repo://src/CanDoItAll.IPFS.NodeControl/wwwroot/app.css</x:v>
      </x:c>
      <x:c r="G10" s="46" t="str">
        <x:v>No CSS refactor was needed for the behavior-preserving split.</x:v>
      </x:c>
    </x:row>
  </x:sheetData>
  <x:mergeCells>
    <x:mergeCell ref="A1:H1"/>
    <x:mergeCell ref="A2:H2"/>
  </x:mergeCells>
  <x:dataValidations count="2">
    <x:dataValidation type="list" sqref="D5:D10">
      <x:formula1>"Planned,Ready,In Progress,Blocked,Done,Deferred"</x:formula1>
    </x:dataValidation>
    <x:dataValidation type="list" sqref="B5:B10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f213b2455d41e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42" hidden="0" customWidth="1"/>
  </x:cols>
  <x:sheetData>
    <x:row r="1">
      <x:c r="A1" s="3" t="str">
        <x:v>Performance Triage</x:v>
      </x:c>
    </x:row>
    <x:row r="2">
      <x:c r="A2" s="6" t="str">
        <x:v>Static scan results from the .NET performance lens. Counts are leads, not automatic refactors.</x:v>
      </x:c>
    </x:row>
    <x:row r="4">
      <x:c r="A4" s="37" t="str">
        <x:v>Finding</x:v>
      </x:c>
      <x:c r="B4" s="38" t="str">
        <x:v>Count</x:v>
      </x:c>
      <x:c r="C4" s="38" t="str">
        <x:v>Priority</x:v>
      </x:c>
      <x:c r="D4" s="38" t="str">
        <x:v>Owner</x:v>
      </x:c>
      <x:c r="E4" s="38" t="str">
        <x:v>Status</x:v>
      </x:c>
      <x:c r="F4" s="38" t="str">
        <x:v>Evidence Required</x:v>
      </x:c>
      <x:c r="G4" s="39" t="str">
        <x:v>Notes</x:v>
      </x:c>
    </x:row>
    <x:row r="5">
      <x:c r="A5" s="40" t="str">
        <x:v>Blocking waits</x:v>
      </x:c>
      <x:c r="B5" s="29" t="n">
        <x:v>81</x:v>
      </x:c>
      <x:c r="C5" s="29" t="str">
        <x:v>High</x:v>
      </x:c>
      <x:c r="D5" s="29" t="str">
        <x:v>SB07</x:v>
      </x:c>
      <x:c r="E5" s="29" t="str">
        <x:v>Done</x:v>
      </x:c>
      <x:c r="F5" s="29" t="str">
        <x:v>bundle://proof/SB07/transcripts/performance-scan-after-sb07.txt</x:v>
      </x:c>
      <x:c r="G5" s="41" t="str">
        <x:v>NodeControl workflow candidate fixed; remaining hits are tests and inherited DNS/MDNS sync surfaces documented in triage.</x:v>
      </x:c>
    </x:row>
    <x:row r="6">
      <x:c r="A6" s="42" t="str">
        <x:v>async void</x:v>
      </x:c>
      <x:c r="B6" s="32" t="n">
        <x:v>18</x:v>
      </x:c>
      <x:c r="C6" s="32" t="str">
        <x:v>High</x:v>
      </x:c>
      <x:c r="D6" s="32" t="str">
        <x:v>SB07</x:v>
      </x:c>
      <x:c r="E6" s="32" t="str">
        <x:v>Deferred</x:v>
      </x:c>
      <x:c r="F6" s="32" t="str">
        <x:v>bundle://proof/SB07/performance-triage.md</x:v>
      </x:c>
      <x:c r="G6" s="43" t="str">
        <x:v>No non-event high-risk fix was selected for SB07.</x:v>
      </x:c>
    </x:row>
    <x:row r="7">
      <x:c r="A7" s="42" t="str">
        <x:v>Manual HttpClient construction</x:v>
      </x:c>
      <x:c r="B7" s="32" t="n">
        <x:v>3</x:v>
      </x:c>
      <x:c r="C7" s="32" t="str">
        <x:v>High</x:v>
      </x:c>
      <x:c r="D7" s="32" t="str">
        <x:v>SB07</x:v>
      </x:c>
      <x:c r="E7" s="32" t="str">
        <x:v>Done</x:v>
      </x:c>
      <x:c r="F7" s="32" t="str">
        <x:v>bundle://proof/SB07/transcripts/production-targeted-scan-after-sb07.txt</x:v>
      </x:c>
      <x:c r="G7" s="43" t="str">
        <x:v>Production count is zero; remaining broad-scan hits are test harness clients.</x:v>
      </x:c>
    </x:row>
    <x:row r="8">
      <x:c r="A8" s="42" t="str">
        <x:v>Substring allocations</x:v>
      </x:c>
      <x:c r="B8" s="32" t="n">
        <x:v>19</x:v>
      </x:c>
      <x:c r="C8" s="32" t="str">
        <x:v>Medium</x:v>
      </x:c>
      <x:c r="D8" s="32" t="str">
        <x:v>SB07</x:v>
      </x:c>
      <x:c r="E8" s="32" t="str">
        <x:v>Deferred</x:v>
      </x:c>
      <x:c r="F8" s="32" t="str">
        <x:v>bundle://proof/SB07/performance-triage.md</x:v>
      </x:c>
      <x:c r="G8" s="43" t="str">
        <x:v>Mostly parser/protocol/test paths; span rewrites deferred until profiling proves hot-path value.</x:v>
      </x:c>
    </x:row>
    <x:row r="9">
      <x:c r="A9" s="42" t="str">
        <x:v>StartsWith/EndsWith/Contains</x:v>
      </x:c>
      <x:c r="B9" s="32" t="n">
        <x:v>286</x:v>
      </x:c>
      <x:c r="C9" s="32" t="str">
        <x:v>Medium</x:v>
      </x:c>
      <x:c r="D9" s="32" t="str">
        <x:v>SB07</x:v>
      </x:c>
      <x:c r="E9" s="32" t="str">
        <x:v>Planned</x:v>
      </x:c>
      <x:c r="F9" s="32" t="str">
        <x:v>triage notes</x:v>
      </x:c>
      <x:c r="G9" s="43" t="str">
        <x:v>Check StringComparison on correctness-sensitive paths.</x:v>
      </x:c>
    </x:row>
    <x:row r="10">
      <x:c r="A10" s="42" t="str">
        <x:v>LINQ Select/Where/OrderBy/GroupBy</x:v>
      </x:c>
      <x:c r="B10" s="32" t="n">
        <x:v>345</x:v>
      </x:c>
      <x:c r="C10" s="32" t="str">
        <x:v>Medium</x:v>
      </x:c>
      <x:c r="D10" s="32" t="str">
        <x:v>SB07</x:v>
      </x:c>
      <x:c r="E10" s="32" t="str">
        <x:v>Deferred</x:v>
      </x:c>
      <x:c r="F10" s="32" t="str">
        <x:v>bundle://proof/SB07/performance-triage.md</x:v>
      </x:c>
      <x:c r="G10" s="43" t="str">
        <x:v>No blanket rewrite; optimize only with focused profiling.</x:v>
      </x:c>
    </x:row>
    <x:row r="11">
      <x:c r="A11" s="42" t="str">
        <x:v>LINQ All/Any</x:v>
      </x:c>
      <x:c r="B11" s="32" t="n">
        <x:v>156</x:v>
      </x:c>
      <x:c r="C11" s="32" t="str">
        <x:v>Low</x:v>
      </x:c>
      <x:c r="D11" s="32" t="str">
        <x:v>SB07</x:v>
      </x:c>
      <x:c r="E11" s="32" t="str">
        <x:v>Deferred</x:v>
      </x:c>
      <x:c r="F11" s="32" t="str">
        <x:v>bundle://proof/SB07/performance-triage.md</x:v>
      </x:c>
      <x:c r="G11" s="43" t="str">
        <x:v>No char LINQ anti-patterns found; broad All/Any review deferred.</x:v>
      </x:c>
    </x:row>
    <x:row r="12">
      <x:c r="A12" s="42" t="str">
        <x:v>new Dictionary/List allocations</x:v>
      </x:c>
      <x:c r="B12" s="32" t="n">
        <x:v>177</x:v>
      </x:c>
      <x:c r="C12" s="32" t="str">
        <x:v>Medium</x:v>
      </x:c>
      <x:c r="D12" s="32" t="str">
        <x:v>SB07</x:v>
      </x:c>
      <x:c r="E12" s="32" t="str">
        <x:v>Deferred</x:v>
      </x:c>
      <x:c r="F12" s="32" t="str">
        <x:v>bundle://proof/SB07/performance-triage.md</x:v>
      </x:c>
      <x:c r="G12" s="43" t="str">
        <x:v>Broad allocation signal; not a safe mechanical rewrite.</x:v>
      </x:c>
    </x:row>
    <x:row r="13">
      <x:c r="A13" s="42" t="str">
        <x:v>TODO/FIXME/HACK</x:v>
      </x:c>
      <x:c r="B13" s="32" t="n">
        <x:v>81</x:v>
      </x:c>
      <x:c r="C13" s="32" t="str">
        <x:v>Medium</x:v>
      </x:c>
      <x:c r="D13" s="32" t="str">
        <x:v>SB01/SB09</x:v>
      </x:c>
      <x:c r="E13" s="32" t="str">
        <x:v>Deferred</x:v>
      </x:c>
      <x:c r="F13" s="32" t="str">
        <x:v>bundle://proof/SB09/transcripts/release-risk-marker-scan.txt</x:v>
      </x:c>
      <x:c r="G13" s="43" t="str">
        <x:v>Remaining markers are inherited protocol/backlog notes; no new SB09 blocker was introduced.</x:v>
      </x:c>
    </x:row>
    <x:row r="14">
      <x:c r="A14" s="44" t="str">
        <x:v>NotImplemented</x:v>
      </x:c>
      <x:c r="B14" s="45" t="n">
        <x:v>27</x:v>
      </x:c>
      <x:c r="C14" s="45" t="str">
        <x:v>High</x:v>
      </x:c>
      <x:c r="D14" s="45" t="str">
        <x:v>SB09</x:v>
      </x:c>
      <x:c r="E14" s="45" t="str">
        <x:v>Deferred</x:v>
      </x:c>
      <x:c r="F14" s="45" t="str">
        <x:v>bundle://proof/SB09/transcripts/release-risk-marker-scan.txt</x:v>
      </x:c>
      <x:c r="G14" s="46" t="str">
        <x:v>Remaining unsupported paths are explicit capability limits or stream contract members; release docs avoid claiming unsupported coverage.</x:v>
      </x:c>
    </x:row>
  </x:sheetData>
  <x:mergeCells>
    <x:mergeCell ref="A1:H1"/>
    <x:mergeCell ref="A2:H2"/>
  </x:mergeCells>
  <x:dataValidations count="2">
    <x:dataValidation type="list" sqref="E5:E14">
      <x:formula1>"Planned,Ready,In Progress,Blocked,Done,Deferred"</x:formula1>
    </x:dataValidation>
    <x:dataValidation type="list" sqref="C5:C14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0facbe99844f5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34" hidden="0" customWidth="1"/>
    <x:col min="7" max="7" width="42" hidden="0" customWidth="1"/>
  </x:cols>
  <x:sheetData>
    <x:row r="1">
      <x:c r="A1" s="3" t="str">
        <x:v>Storage And Query Hardening</x:v>
      </x:c>
    </x:row>
    <x:row r="2">
      <x:c r="A2" s="6" t="str">
        <x:v>EF Core is absent; apply query optimization intent to raw SQLite, JSON stores, and logs.</x:v>
      </x:c>
    </x:row>
    <x:row r="4">
      <x:c r="A4" s="37" t="str">
        <x:v>Store</x:v>
      </x:c>
      <x:c r="B4" s="38" t="str">
        <x:v>Priority</x:v>
      </x:c>
      <x:c r="C4" s="38" t="str">
        <x:v>Owner</x:v>
      </x:c>
      <x:c r="D4" s="38" t="str">
        <x:v>Status</x:v>
      </x:c>
      <x:c r="E4" s="38" t="str">
        <x:v>Evidence Required</x:v>
      </x:c>
      <x:c r="F4" s="38" t="str">
        <x:v>Source Reference</x:v>
      </x:c>
      <x:c r="G4" s="39" t="str">
        <x:v>Notes</x:v>
      </x:c>
    </x:row>
    <x:row r="5">
      <x:c r="A5" s="40" t="str">
        <x:v>EF Core marker scan</x:v>
      </x:c>
      <x:c r="B5" s="29" t="str">
        <x:v>High</x:v>
      </x:c>
      <x:c r="C5" s="29" t="str">
        <x:v>SB01/SB08</x:v>
      </x:c>
      <x:c r="D5" s="29" t="str">
        <x:v>Done</x:v>
      </x:c>
      <x:c r="E5" s="29" t="str">
        <x:v>bundle://proof/SB08/transcripts/ef-core-marker-scan-after-sb08-start.txt</x:v>
      </x:c>
      <x:c r="F5" s="29" t="str">
        <x:v>bundle://analysis/01-current-state.md</x:v>
      </x:c>
      <x:c r="G5" s="41" t="str">
        <x:v>No DbContext/DbSet/EntityFrameworkCore markers found.</x:v>
      </x:c>
    </x:row>
    <x:row r="6">
      <x:c r="A6" s="42" t="str">
        <x:v>ExplorerIndexStore SQLite schema and indexes</x:v>
      </x:c>
      <x:c r="B6" s="32" t="str">
        <x:v>Critical</x:v>
      </x:c>
      <x:c r="C6" s="32" t="str">
        <x:v>SB08</x:v>
      </x:c>
      <x:c r="D6" s="32" t="str">
        <x:v>Done</x:v>
      </x:c>
      <x:c r="E6" s="32" t="str">
        <x:v>bundle://proof/SB08/transcripts/sqlite-storage-source-proof.txt</x:v>
      </x:c>
      <x:c r="F6" s="32" t="str">
        <x:v>repo://src/CanDoItAll.IPFS.NodeControl/Services/ExplorerIndexStore.cs</x:v>
      </x:c>
      <x:c r="G6" s="43" t="str">
        <x:v>Added pinned-root list index, typed SQLite parameters, target normalization, and runtime index tests.</x:v>
      </x:c>
    </x:row>
    <x:row r="7">
      <x:c r="A7" s="42" t="str">
        <x:v>ApplicationLogStore rotation</x:v>
      </x:c>
      <x:c r="B7" s="32" t="str">
        <x:v>High</x:v>
      </x:c>
      <x:c r="C7" s="32" t="str">
        <x:v>SB08</x:v>
      </x:c>
      <x:c r="D7" s="32" t="str">
        <x:v>Done</x:v>
      </x:c>
      <x:c r="E7" s="32" t="str">
        <x:v>bundle://proof/SB08/transcripts/focused-storage-tests.txt</x:v>
      </x:c>
      <x:c r="F7" s="32" t="str">
        <x:v>repo://src/CanDoItAll.IPFS.NodeControl/Services/ApplicationLogStore.cs</x:v>
      </x:c>
      <x:c r="G7" s="43" t="str">
        <x:v>Rotation now maintains active-file entry count after initial read/reload.</x:v>
      </x:c>
    </x:row>
    <x:row r="8">
      <x:c r="A8" s="42" t="str">
        <x:v>RemotePinRequestStore JSON durability</x:v>
      </x:c>
      <x:c r="B8" s="32" t="str">
        <x:v>High</x:v>
      </x:c>
      <x:c r="C8" s="32" t="str">
        <x:v>SB08</x:v>
      </x:c>
      <x:c r="D8" s="32" t="str">
        <x:v>Done</x:v>
      </x:c>
      <x:c r="E8" s="32" t="str">
        <x:v>bundle://proof/SB08/transcripts/focused-storage-tests.txt</x:v>
      </x:c>
      <x:c r="F8" s="32" t="str">
        <x:v>repo://src/CanDoItAll.IPFS.NodeControl/Services/RemotePinRequestStore.cs</x:v>
      </x:c>
      <x:c r="G8" s="43" t="str">
        <x:v>Existing atomic migration, backup, and quarantine tests passed.</x:v>
      </x:c>
    </x:row>
    <x:row r="9">
      <x:c r="A9" s="42" t="str">
        <x:v>ServerNodeSettingsStore JSON durability</x:v>
      </x:c>
      <x:c r="B9" s="32" t="str">
        <x:v>High</x:v>
      </x:c>
      <x:c r="C9" s="32" t="str">
        <x:v>SB08</x:v>
      </x:c>
      <x:c r="D9" s="32" t="str">
        <x:v>Done</x:v>
      </x:c>
      <x:c r="E9" s="32" t="str">
        <x:v>bundle://proof/SB08/transcripts/focused-storage-tests.txt</x:v>
      </x:c>
      <x:c r="F9" s="32" t="str">
        <x:v>repo://src/CanDoItAll.IPFS.NodeControl/Services/ServerNodeSettingsStore.cs</x:v>
      </x:c>
      <x:c r="G9" s="43" t="str">
        <x:v>Existing atomic migration, backup, quarantine, and configured path tests passed.</x:v>
      </x:c>
    </x:row>
    <x:row r="10">
      <x:c r="A10" s="44" t="str">
        <x:v>Docker/local path configuration</x:v>
      </x:c>
      <x:c r="B10" s="45" t="str">
        <x:v>Critical</x:v>
      </x:c>
      <x:c r="C10" s="45" t="str">
        <x:v>SB04/SB08</x:v>
      </x:c>
      <x:c r="D10" s="45" t="str">
        <x:v>Done</x:v>
      </x:c>
      <x:c r="E10" s="45" t="str">
        <x:v>bundle://proof/SB04/transcripts/docker-compose-rebuild-and-verify.txt</x:v>
      </x:c>
      <x:c r="F10" s="45" t="str">
        <x:v>repo://src/CanDoItAll.IPFS.NodeControl/appsettings.Container.json</x:v>
      </x:c>
      <x:c r="G10" s="46" t="str">
        <x:v>Container config no longer relies on LocalApplicationData for durable stores.</x:v>
      </x:c>
    </x:row>
  </x:sheetData>
  <x:mergeCells>
    <x:mergeCell ref="A1:H1"/>
    <x:mergeCell ref="A2:H2"/>
  </x:mergeCells>
  <x:dataValidations count="2">
    <x:dataValidation type="list" sqref="D5:D10">
      <x:formula1>"Planned,Ready,In Progress,Blocked,Done,Deferred"</x:formula1>
    </x:dataValidation>
    <x:dataValidation type="list" sqref="B5:B10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c53b66ad734aa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42" hidden="0" customWidth="1"/>
  </x:cols>
  <x:sheetData>
    <x:row r="1">
      <x:c r="A1" s="3" t="str">
        <x:v>Validation Evidence Plan</x:v>
      </x:c>
    </x:row>
    <x:row r="2">
      <x:c r="A2" s="6" t="str">
        <x:v>Commands, browser proof, docker proof, and validator gates required before publication.</x:v>
      </x:c>
    </x:row>
    <x:row r="4">
      <x:c r="A4" s="37" t="str">
        <x:v>Subbundle</x:v>
      </x:c>
      <x:c r="B4" s="38" t="str">
        <x:v>Required Proof</x:v>
      </x:c>
      <x:c r="C4" s="38" t="str">
        <x:v>Priority</x:v>
      </x:c>
      <x:c r="D4" s="38" t="str">
        <x:v>Owner</x:v>
      </x:c>
      <x:c r="E4" s="38" t="str">
        <x:v>Status</x:v>
      </x:c>
      <x:c r="F4" s="38" t="str">
        <x:v>Evidence Location</x:v>
      </x:c>
      <x:c r="G4" s="39" t="str">
        <x:v>Notes</x:v>
      </x:c>
    </x:row>
    <x:row r="5">
      <x:c r="A5" s="40" t="str">
        <x:v>SB01</x:v>
      </x:c>
      <x:c r="B5" s="29" t="str">
        <x:v>Baseline build, warnings, scans</x:v>
      </x:c>
      <x:c r="C5" s="29" t="str">
        <x:v>Critical</x:v>
      </x:c>
      <x:c r="D5" s="29" t="str">
        <x:v>SB01</x:v>
      </x:c>
      <x:c r="E5" s="29" t="str">
        <x:v>Ready</x:v>
      </x:c>
      <x:c r="F5" s="29" t="str">
        <x:v>bundle://reviews/01-execution-report.md</x:v>
      </x:c>
      <x:c r="G5" s="41" t="str">
        <x:v>Refresh before implementation.</x:v>
      </x:c>
    </x:row>
    <x:row r="6">
      <x:c r="A6" s="42" t="str">
        <x:v>SB02</x:v>
      </x:c>
      <x:c r="B6" s="32" t="str">
        <x:v>Build, package/advisory, metadata diff</x:v>
      </x:c>
      <x:c r="C6" s="32" t="str">
        <x:v>High</x:v>
      </x:c>
      <x:c r="D6" s="32" t="str">
        <x:v>SB02</x:v>
      </x:c>
      <x:c r="E6" s="32" t="str">
        <x:v>Done</x:v>
      </x:c>
      <x:c r="F6" s="32" t="str">
        <x:v>bundle://proof/SB02/transcripts</x:v>
      </x:c>
      <x:c r="G6" s="43" t="str">
        <x:v>No unproven docker docs; package/advisory proof captured.</x:v>
      </x:c>
    </x:row>
    <x:row r="7">
      <x:c r="A7" s="42" t="str">
        <x:v>SB03</x:v>
      </x:c>
      <x:c r="B7" s="32" t="str">
        <x:v>Build, service composition tests, dependency graph, proof manifest</x:v>
      </x:c>
      <x:c r="C7" s="32" t="str">
        <x:v>Critical</x:v>
      </x:c>
      <x:c r="D7" s="32" t="str">
        <x:v>SB03</x:v>
      </x:c>
      <x:c r="E7" s="32" t="str">
        <x:v>Done</x:v>
      </x:c>
      <x:c r="F7" s="32" t="str">
        <x:v>bundle://proof/SB03/manifest.md</x:v>
      </x:c>
      <x:c r="G7" s="43" t="str">
        <x:v>Architecture-critical boundary complete; SB05 decomposition remains.</x:v>
      </x:c>
    </x:row>
    <x:row r="8">
      <x:c r="A8" s="42" t="str">
        <x:v>SB04</x:v>
      </x:c>
      <x:c r="B8" s="32" t="str">
        <x:v>docker compose up/restart/rebuild persistence proof</x:v>
      </x:c>
      <x:c r="C8" s="32" t="str">
        <x:v>Critical</x:v>
      </x:c>
      <x:c r="D8" s="32" t="str">
        <x:v>SB04</x:v>
      </x:c>
      <x:c r="E8" s="32" t="str">
        <x:v>Done</x:v>
      </x:c>
      <x:c r="F8" s="32" t="str">
        <x:v>bundle://proof/SB04/manifest.md</x:v>
      </x:c>
      <x:c r="G8" s="43" t="str">
        <x:v>Release-critical proof captured; SB09 will rerun final validation.</x:v>
      </x:c>
    </x:row>
    <x:row r="9">
      <x:c r="A9" s="42" t="str">
        <x:v>SB05</x:v>
      </x:c>
      <x:c r="B9" s="32" t="str">
        <x:v>Focused workflow tests and route smoke</x:v>
      </x:c>
      <x:c r="C9" s="32" t="str">
        <x:v>High</x:v>
      </x:c>
      <x:c r="D9" s="32" t="str">
        <x:v>SB05</x:v>
      </x:c>
      <x:c r="E9" s="32" t="str">
        <x:v>Done</x:v>
      </x:c>
      <x:c r="F9" s="32" t="str">
        <x:v>bundle://proof/SB05/transcripts/focused-nodeoperator-decomposition-tests.txt and bundle://proof/SB05/transcripts/nodeoperator-page-smoke-tests-passing.txt</x:v>
      </x:c>
      <x:c r="G9" s="43" t="str">
        <x:v>Behavior-preserving refactor passed.</x:v>
      </x:c>
    </x:row>
    <x:row r="10">
      <x:c r="A10" s="42" t="str">
        <x:v>SB06</x:v>
      </x:c>
      <x:c r="B10" s="32" t="str">
        <x:v>Playwright screenshots at 1920x1080 and 1600x900</x:v>
      </x:c>
      <x:c r="C10" s="32" t="str">
        <x:v>High</x:v>
      </x:c>
      <x:c r="D10" s="32" t="str">
        <x:v>SB06</x:v>
      </x:c>
      <x:c r="E10" s="32" t="str">
        <x:v>Done</x:v>
      </x:c>
      <x:c r="F10" s="32" t="str">
        <x:v>bundle://proof/SB06/browser-smoke-summary.json</x:v>
      </x:c>
      <x:c r="G10" s="43" t="str">
        <x:v>Desktop UI only; no console errors, page errors, or failed requests recorded.</x:v>
      </x:c>
    </x:row>
    <x:row r="11">
      <x:c r="A11" s="42" t="str">
        <x:v>SB07</x:v>
      </x:c>
      <x:c r="B11" s="32" t="str">
        <x:v>Performance scan before/after and focused tests</x:v>
      </x:c>
      <x:c r="C11" s="32" t="str">
        <x:v>High</x:v>
      </x:c>
      <x:c r="D11" s="32" t="str">
        <x:v>SB07</x:v>
      </x:c>
      <x:c r="E11" s="32" t="str">
        <x:v>Done</x:v>
      </x:c>
      <x:c r="F11" s="32" t="str">
        <x:v>bundle://proof/SB07/performance-triage.md</x:v>
      </x:c>
      <x:c r="G11" s="43" t="str">
        <x:v>Fixed selected hot/risky items; deferred broad scan findings with rationale.</x:v>
      </x:c>
    </x:row>
    <x:row r="12">
      <x:c r="A12" s="42" t="str">
        <x:v>SB08</x:v>
      </x:c>
      <x:c r="B12" s="32" t="str">
        <x:v>EF scan, storage tests, persistence proof manifest</x:v>
      </x:c>
      <x:c r="C12" s="32" t="str">
        <x:v>Critical</x:v>
      </x:c>
      <x:c r="D12" s="32" t="str">
        <x:v>SB08</x:v>
      </x:c>
      <x:c r="E12" s="32" t="str">
        <x:v>Done</x:v>
      </x:c>
      <x:c r="F12" s="32" t="str">
        <x:v>bundle://proof/SB08/manifest.md</x:v>
      </x:c>
      <x:c r="G12" s="43" t="str">
        <x:v>Data-critical storage hardening completed; docker final rerun remains SB09.</x:v>
      </x:c>
    </x:row>
    <x:row r="13">
      <x:c r="A13" s="44" t="str">
        <x:v>SB09</x:v>
      </x:c>
      <x:c r="B13" s="45" t="str">
        <x:v>Full build/test/package/docker/browser/validator proof</x:v>
      </x:c>
      <x:c r="C13" s="45" t="str">
        <x:v>Critical</x:v>
      </x:c>
      <x:c r="D13" s="45" t="str">
        <x:v>SB09</x:v>
      </x:c>
      <x:c r="E13" s="45" t="str">
        <x:v>Done</x:v>
      </x:c>
      <x:c r="F13" s="45" t="str">
        <x:v>bundle://proof/SB09/manifest.md</x:v>
      </x:c>
      <x:c r="G13" s="46" t="str">
        <x:v>Closure proof captured for tests, packages, docker multi-node e2e, browser smoke, vulnerability scan, and bundle validator.</x:v>
      </x:c>
    </x:row>
  </x:sheetData>
  <x:mergeCells>
    <x:mergeCell ref="A1:H1"/>
    <x:mergeCell ref="A2:H2"/>
  </x:mergeCells>
  <x:dataValidations count="2">
    <x:dataValidation type="list" sqref="E5:E13">
      <x:formula1>"Planned,Ready,In Progress,Blocked,Done,Deferred"</x:formula1>
    </x:dataValidation>
    <x:dataValidation type="list" sqref="C5:C13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a5f7ada4ec43b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42" hidden="0" customWidth="1"/>
  </x:cols>
  <x:sheetData>
    <x:row r="1">
      <x:c r="A1" s="3" t="str">
        <x:v>Requirement Traceability</x:v>
      </x:c>
    </x:row>
    <x:row r="2">
      <x:c r="A2" s="6" t="str">
        <x:v>Raw request coverage mapped to owning subbundles and planned proof.</x:v>
      </x:c>
    </x:row>
    <x:row r="4">
      <x:c r="A4" s="37" t="str">
        <x:v>Requirement</x:v>
      </x:c>
      <x:c r="B4" s="38" t="str">
        <x:v>Owner</x:v>
      </x:c>
      <x:c r="C4" s="38" t="str">
        <x:v>Status</x:v>
      </x:c>
      <x:c r="D4" s="38" t="str">
        <x:v>Evidence Required</x:v>
      </x:c>
      <x:c r="E4" s="39" t="str">
        <x:v>Notes</x:v>
      </x:c>
    </x:row>
    <x:row r="5">
      <x:c r="A5" s="40" t="str">
        <x:v>R001 Preparation-only bundle</x:v>
      </x:c>
      <x:c r="B5" s="29" t="str">
        <x:v>SB01/SB09</x:v>
      </x:c>
      <x:c r="C5" s="29" t="str">
        <x:v>Done</x:v>
      </x:c>
      <x:c r="D5" s="29" t="str">
        <x:v>prepared and completed validators plus git diff review</x:v>
      </x:c>
      <x:c r="E5" s="41" t="str">
        <x:v>Preparation-only constraint was honored during bundle prep; implementation now has completed proof.</x:v>
      </x:c>
    </x:row>
    <x:row r="6">
      <x:c r="A6" s="42" t="str">
        <x:v>R002 Publishing readiness</x:v>
      </x:c>
      <x:c r="B6" s="32" t="str">
        <x:v>SB01/SB02/SB09</x:v>
      </x:c>
      <x:c r="C6" s="32" t="str">
        <x:v>Done</x:v>
      </x:c>
      <x:c r="D6" s="32" t="str">
        <x:v>docs/package/dependency/final validation</x:v>
      </x:c>
      <x:c r="E6" s="43" t="str">
        <x:v>Package metadata, README, dependency scan, packages, and final validation are complete.</x:v>
      </x:c>
    </x:row>
    <x:row r="7">
      <x:c r="A7" s="42" t="str">
        <x:v>R003 Messy parts</x:v>
      </x:c>
      <x:c r="B7" s="32" t="str">
        <x:v>SB01/SB03/SB05/SB06</x:v>
      </x:c>
      <x:c r="C7" s="32" t="str">
        <x:v>Done</x:v>
      </x:c>
      <x:c r="D7" s="32" t="str">
        <x:v>hotspot inventory and refactor proof</x:v>
      </x:c>
      <x:c r="E7" s="43" t="str">
        <x:v>NodeOperator hotspot is decomposed; large UI markup/code-behind split is complete; Files route state remains a future extraction candidate.</x:v>
      </x:c>
    </x:row>
    <x:row r="8">
      <x:c r="A8" s="42" t="str">
        <x:v>R004 NodeControl isolation</x:v>
      </x:c>
      <x:c r="B8" s="32" t="str">
        <x:v>SB03/SB05</x:v>
      </x:c>
      <x:c r="C8" s="32" t="str">
        <x:v>Done</x:v>
      </x:c>
      <x:c r="D8" s="32" t="str">
        <x:v>bundle://proof/SB05/transcripts/focused-nodeoperator-decomposition-tests.txt</x:v>
      </x:c>
      <x:c r="E8" s="43" t="str">
        <x:v>SB03 extracted UI-free contracts; SB05 split concrete workflows.</x:v>
      </x:c>
    </x:row>
    <x:row r="9">
      <x:c r="A9" s="42" t="str">
        <x:v>R005 Future CLI feasibility</x:v>
      </x:c>
      <x:c r="B9" s="32" t="str">
        <x:v>SB03/SB05/SB09</x:v>
      </x:c>
      <x:c r="C9" s="32" t="str">
        <x:v>Done</x:v>
      </x:c>
      <x:c r="D9" s="32" t="str">
        <x:v>interfaces and graph proof</x:v>
      </x:c>
      <x:c r="E9" s="43" t="str">
        <x:v>Reusable workflow interfaces exist; CLI implementation remains out of scope.</x:v>
      </x:c>
    </x:row>
    <x:row r="10">
      <x:c r="A10" s="42" t="str">
        <x:v>R006 Large desktop UI only</x:v>
      </x:c>
      <x:c r="B10" s="32" t="str">
        <x:v>SB06/SB09</x:v>
      </x:c>
      <x:c r="C10" s="32" t="str">
        <x:v>Done</x:v>
      </x:c>
      <x:c r="D10" s="32" t="str">
        <x:v>bundle://proof/SB06/browser-smoke-summary.json and SB09 final rerun</x:v>
      </x:c>
      <x:c r="E10" s="43" t="str">
        <x:v>SB06 captured 1920x1080 and 1600x900 proof with no small/medium tuning.</x:v>
      </x:c>
    </x:row>
    <x:row r="11">
      <x:c r="A11" s="42" t="str">
        <x:v>R007 .NET performance</x:v>
      </x:c>
      <x:c r="B11" s="32" t="str">
        <x:v>SB01/SB07/SB09</x:v>
      </x:c>
      <x:c r="C11" s="32" t="str">
        <x:v>Done</x:v>
      </x:c>
      <x:c r="D11" s="32" t="str">
        <x:v>bundle://proof/SB07/performance-triage.md</x:v>
      </x:c>
      <x:c r="E11" s="43" t="str">
        <x:v>Performance skill used as lens; selected fixes are proven and deferrals documented.</x:v>
      </x:c>
    </x:row>
    <x:row r="12">
      <x:c r="A12" s="42" t="str">
        <x:v>R008 EF/query optimization</x:v>
      </x:c>
      <x:c r="B12" s="32" t="str">
        <x:v>SB01/SB08/SB09</x:v>
      </x:c>
      <x:c r="C12" s="32" t="str">
        <x:v>Done</x:v>
      </x:c>
      <x:c r="D12" s="32" t="str">
        <x:v>bundle://proof/SB08/transcripts/focused-storage-tests.txt</x:v>
      </x:c>
      <x:c r="E12" s="43" t="str">
        <x:v>EF Core absent; raw SQLite and file stores were hardened.</x:v>
      </x:c>
    </x:row>
    <x:row r="13">
      <x:c r="A13" s="42" t="str">
        <x:v>R009 Docker compose persisted data</x:v>
      </x:c>
      <x:c r="B13" s="32" t="str">
        <x:v>SB04/SB08/SB09</x:v>
      </x:c>
      <x:c r="C13" s="32" t="str">
        <x:v>Done</x:v>
      </x:c>
      <x:c r="D13" s="32" t="str">
        <x:v>bundle://proof/SB09/transcripts/docker-multinode-e2e.txt</x:v>
      </x:c>
      <x:c r="E13" s="43" t="str">
        <x:v>Compose added, persistence proof captured, and final multi-node pin/unpin e2e passed.</x:v>
      </x:c>
    </x:row>
    <x:row r="14">
      <x:c r="A14" s="42" t="str">
        <x:v>R010 XLSX checklist</x:v>
      </x:c>
      <x:c r="B14" s="32" t="str">
        <x:v>SB01/all/SB09</x:v>
      </x:c>
      <x:c r="C14" s="32" t="str">
        <x:v>Done</x:v>
      </x:c>
      <x:c r="D14" s="32" t="str">
        <x:v>this workbook</x:v>
      </x:c>
      <x:c r="E14" s="43" t="str">
        <x:v>Status updated through final implementation.</x:v>
      </x:c>
    </x:row>
    <x:row r="15">
      <x:c r="A15" s="44" t="str">
        <x:v>R011 Final validation</x:v>
      </x:c>
      <x:c r="B15" s="45" t="str">
        <x:v>SB09</x:v>
      </x:c>
      <x:c r="C15" s="45" t="str">
        <x:v>Done</x:v>
      </x:c>
      <x:c r="D15" s="45" t="str">
        <x:v>bundle://proof/SB09/manifest.md</x:v>
      </x:c>
      <x:c r="E15" s="46" t="str">
        <x:v>Final closure gate completed.</x:v>
      </x:c>
    </x:row>
  </x:sheetData>
  <x:mergeCells>
    <x:mergeCell ref="A1:H1"/>
    <x:mergeCell ref="A2:H2"/>
  </x:mergeCells>
  <x:dataValidations count="1">
    <x:dataValidation type="list" sqref="C5:C15">
      <x:formula1>"Planned,Ready,In Progress,Blocked,Done,Deferred"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f2a6a4e1a242b4"/>
  </x:tableParts>
</x:worksheet>
</file>